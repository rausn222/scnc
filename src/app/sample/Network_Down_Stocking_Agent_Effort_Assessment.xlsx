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Summary" state="visible" r:id="rId5"/>
    <sheet sheetId="3" name="Step 1 - Project Setup" state="visible" r:id="rId6"/>
    <sheet sheetId="4" name="Step 2 - Sim Assumptions" state="visible" r:id="rId7"/>
    <sheet sheetId="5" name="Step 3 - Scenario Compare" state="visible" r:id="rId8"/>
    <sheet sheetId="6" name="Foundational Platform" state="visible" r:id="rId9"/>
    <sheet sheetId="7" name="Open Questions &amp; Gaps" state="visible" r:id="rId10"/>
  </sheets>
  <calcPr calcId="171027"/>
</workbook>
</file>

<file path=xl/sharedStrings.xml><?xml version="1.0" encoding="utf-8"?>
<sst xmlns="http://schemas.openxmlformats.org/spreadsheetml/2006/main" count="263" uniqueCount="204">
  <si>
    <t>Network Down Stocking Agent Trial — Effort Assessment</t>
  </si>
  <si>
    <t>This assessment estimates the engineering effort to take the Network Down Stocking Agent Trial page — currently a front-end-only prototype with hardcoded data and no real backend — to a production build reflecting the handwritten review notes (Steps 1-3), plus the foundational platform work (real APIs, source-system integration, and a genuine scenario-calculation engine) the prototype does not yet have. It was produced by reading the current implementation component-by-component and cross-referencing it against the review notes and an additional round of verbal/handwritten feedback.</t>
  </si>
  <si>
    <t>Methodology</t>
  </si>
  <si>
    <t>• Effort is estimated in person-days, split across three work types per feature: UI (React components/screens), Logic (business rules, calculations, state), and API Integration (backend endpoints + external system data feeds).</t>
  </si>
  <si>
    <t>• Two independent multipliers are applied on top of a from-scratch baseline. (1) GenAI-assisted development (e.g. Claude Code) is assumed to cut UI effort by ~50%, business-logic effort by ~35%, and API/integration effort by ~20% — integration benefits least because most of its time is data-contract design, external-system coordination and testing against real systems, not code generation. (2) Reusing ~60% of the existing prototype UI is assumed to cut UI effort ONLY by 60%, since the prototype's component structure, layout and styling are usable, but its business logic and data are not — everything found in the code review is hardcoded or mocked.</t>
  </si>
  <si>
    <t>• The 60% UI-reuse credit applies only to LIVE, reachable prototype code. Two clusters of dead/unreachable code were found during review (a 1,454-line unused alternate detail page, and an unused mind-map module) and are excluded from that credit — see F.4 and the Open Questions section.</t>
  </si>
  <si>
    <t>• 'Current Prototype State' text in every row below is drawn from direct inspection of the actual component files, not from the review notes alone — it flags real complexity signals (file size, whether data is wired to a query vs. hardcoded, dead/orphaned code) that materially change the estimate.</t>
  </si>
  <si>
    <t>• Foundational platform work (Section F) is not called out as line items in the handwritten review notes, but the code review confirmed none of it exists yet — without it, none of the Step 1-3 changes can run against real data. It is broken out separately so it can be scoped and resourced as its own track.</t>
  </si>
  <si>
    <t>• This is a from-scratch build estimate: the current React page is treated purely as a prototype/reference, not as a partially-shippable production artifact.</t>
  </si>
  <si>
    <t>How to read the numbers</t>
  </si>
  <si>
    <t>• Each feature row shows four totals: No GenAI/full rebuild, GenAI/full rebuild, No GenAI/60% UI reuse, and GenAI/60% UI reuse. The last (green-shaded) column is the most realistic scenario if the team uses GenAI tooling and reuses the existing prototype UI.</t>
  </si>
  <si>
    <t>• 'API Integration' days assume the underlying source system is reachable and its data contract is known. Where that isn't yet true (see Open Questions), treat the figure as a coding-effort estimate only — actual calendar time may run longer due to external dependencies, independent of engineering effort or GenAI use.</t>
  </si>
  <si>
    <t>• Suggested calendar timelines in the Executive Summary assume a team of 2 front-end engineers + 2 backend/integration engineers + 1 shared QA, working parallel UI and backend streams, plus a stabilization/QA buffer.</t>
  </si>
  <si>
    <t>• Rows with an amber-shaded 'Open Questions' cell contain something the estimate could not fully resolve from the code or the review notes alone — see the consolidated Open Questions sheet/section for the full list and why each one matters.</t>
  </si>
  <si>
    <t>Sheets in this workbook</t>
  </si>
  <si>
    <t>• Executive Summary — the 4-scenario roll-up (GenAI × UI-reuse) with suggested calendar timelines.</t>
  </si>
  <si>
    <t>• Step 1/2/3 sheets — one row per requested feature/change, with current-state notes, effort in days across UI/Logic/API, and open questions.</t>
  </si>
  <si>
    <t>• Foundational Platform Work — the API, integration and calculation-engine work the review notes assume but don't mention.</t>
  </si>
  <si>
    <t>• Open Questions &amp; Gaps — every open question and functional gap found, consolidated in one place with why it matters.</t>
  </si>
  <si>
    <t>Scenario</t>
  </si>
  <si>
    <t>UI (days)</t>
  </si>
  <si>
    <t>Logic (days)</t>
  </si>
  <si>
    <t>API Integration (days)</t>
  </si>
  <si>
    <t>Total Effort (person-days)</t>
  </si>
  <si>
    <t>Suggested Calendar Timeline*</t>
  </si>
  <si>
    <t>No GenAI · Full rebuild (0% UI reuse)</t>
  </si>
  <si>
    <t>~19-20 weeks (~4.5-5 months)</t>
  </si>
  <si>
    <t>With GenAI · Full rebuild (0% UI reuse)</t>
  </si>
  <si>
    <t>~14-15 weeks (~3.5 months)</t>
  </si>
  <si>
    <t>No GenAI · 60% prototype UI reuse</t>
  </si>
  <si>
    <t>~18-19 weeks (~4.5 months)</t>
  </si>
  <si>
    <t>With GenAI · 60% prototype UI reuse (recommended read)</t>
  </si>
  <si>
    <t>~13-14 weeks (~3 months)</t>
  </si>
  <si>
    <t>*Calendar timeline assumes the team composition and parallelisation described in the Read Me sheet; person-days are not simply divided by headcount because of sequencing/dependency constraints.</t>
  </si>
  <si>
    <t>#</t>
  </si>
  <si>
    <t>Feature / Change</t>
  </si>
  <si>
    <t>Current Prototype State</t>
  </si>
  <si>
    <t>Requested Change (from review notes)</t>
  </si>
  <si>
    <t>UI — no reuse (d)</t>
  </si>
  <si>
    <t>UI — 60% reuse (d)</t>
  </si>
  <si>
    <t>Logic (d)</t>
  </si>
  <si>
    <t>API Integration (d)</t>
  </si>
  <si>
    <t>TOTAL — No GenAI, no reuse (d)</t>
  </si>
  <si>
    <t>TOTAL — GenAI, no reuse (d)</t>
  </si>
  <si>
    <t>TOTAL — No GenAI, 60% reuse (d)</t>
  </si>
  <si>
    <t>TOTAL — GenAI, 60% reuse (d)</t>
  </si>
  <si>
    <t>Open Questions / Functional Gaps</t>
  </si>
  <si>
    <t>S1.1</t>
  </si>
  <si>
    <t>Project name input + Save/Clear buttons</t>
  </si>
  <si>
    <t>ProjectNameField.tsx reuses the searchable-dropdown pattern seeded from a PROJECT_NAME_OPTIONS constant, and per the code already supports creating a new name dynamically alongside the presets — free-text entry may substantially already work. The 'Create new project' and 'Clear' action buttons live in SelectCbuStep.tsx.</t>
  </si>
  <si>
    <t>Confirm/ensure the user can simply type a project name (not just pick from a mock list). Rename the 'Create new project' button to 'Save'. Remove the 'Clear' button entirely.</t>
  </si>
  <si>
    <t>Confirm in-app whether the existing creatable-dropdown pattern already satisfies 'user can type project name', or whether a plain free-text input is wanted instead. | Whether 'Save' persists a real project record now, or just sets local/Redux state until drafts persistence (S1.3) lands, changes whether this is a 1-day cosmetic change or sequenced behind bigger work.</t>
  </si>
  <si>
    <t>S1.2</t>
  </si>
  <si>
    <t>CBU selection (Old/New) — real master data</t>
  </si>
  <si>
    <t>CbuDropdownField.tsx is a well-built, reusable, portal-rendered multi-select (search, select-all, clear, keyboard nav) — the ONLY component in this entire feature already calling a real React Query hook (useCbuListQuery). That hook still resolves against a mocked in-memory array (cbuApi.ts's delay()-wrapped fake data), not a live backend.</t>
  </si>
  <si>
    <t>Not an explicit review-note line item, but required foundational work: replace the mock CBU list/detail API with the real CBU master-data service. The dropdown UI itself is already production-shaped and needs little change.</t>
  </si>
  <si>
    <t>—</t>
  </si>
  <si>
    <t>S1.3</t>
  </si>
  <si>
    <t>Draft / project persistence</t>
  </si>
  <si>
    <t>DraftIdField.tsx renders the same dropdown pattern against a literal DUMMY_DRAFTS array (3 hardcoded entries) — a clear stub for a future 'load draft' API. The page-header 'Save Draft' button only sets a Redux hasChanges/lastSavedAt flag; nothing is written to a backend, so a refresh loses all progress today.</t>
  </si>
  <si>
    <t>Implied by 'Create new project' → 'Save': a project/draft needs to actually persist (create, save, list, resume) for the Save button and Draft ID dropdown to be real.</t>
  </si>
  <si>
    <t>Review notes don't specify draft/project persistence scope — versioning? multi-user access? who can resume someone else's draft? Needs product sign-off before this can be estimated precisely.</t>
  </si>
  <si>
    <t/>
  </si>
  <si>
    <t>SUBTOTAL</t>
  </si>
  <si>
    <t>S2.1</t>
  </si>
  <si>
    <t>PO Cancellation — table rework</t>
  </si>
  <si>
    <t>OpenPoAssumptionsContent.tsx is a large component: a 14-column PO-line table, a cancel toggle, bulk include/cancel-all buttons, and per-row checkboxes, all sourced from hardcoded OPEN_PO_LINES / OPEN_PO_CANCELLABLE_LINES constants.</t>
  </si>
  <si>
    <t>Remove the supplier-inventory column. Remove the 'Open PO can be cancelled' toggle entirely. Tick boxes blank by default (currently pre-checked). Add a 'Select all' checkbox in the header's first column. Add a scrollbar when the table overflows.</t>
  </si>
  <si>
    <t>S2.2</t>
  </si>
  <si>
    <t>New assumption: Supplier Inventory &amp; Feedstock</t>
  </si>
  <si>
    <t>Does not exist as a standalone assumption today — supplier inventory only currently appears inside the PO Cancellation table, which is being removed per the row above.</t>
  </si>
  <si>
    <t>New assumption tile, 'Supplier inventory &amp; feedstock', placed last in the Step 2 grid. Columns: Material type code &amp; description, Base UOM, Supplier code &amp; name, Supplier inventory (input), Feedstock (input). Auto-populate supplier inventory when data is available.</t>
  </si>
  <si>
    <t>What system is the source of truth for 'supplier inventory' and 'feedstock' when available — an existing feed, or a new integration?</t>
  </si>
  <si>
    <t>S2.3</t>
  </si>
  <si>
    <t>RMPM Connectivity — status logic &amp; BOM table rework</t>
  </si>
  <si>
    <t>RmpmConnectivityContent.tsx (medium-large) has a PO-line table with an editable delivery date, but per-line status is only a synthetic STATUS_CYCLE — not modeled from real BOM/PO/contract state. RmpmBomPendingContent.tsx (small-medium) is the separate BOM-pending popup.</t>
  </si>
  <si>
    <t>Rework status into a real state matrix: BOM+PO available → delivery/ETA from SAP (ETA editable); BOM available, PO not, contract issues → label 'Contract issues' (replacing 'Lies with Procurement'); contract not available → 'Contract issues'; contract available with an issue → 'Contract issues' (detail lives on the Contract Coverage page). Rebuild the BOM table columns: CBU, Plant, BOM PV, Material type code &amp; description, Supplier code &amp; name, Contract availability (clubbed across plants/CBUs for multi-RMPM), Connectivity date. Subtitle reflects the count of new CBUs.</t>
  </si>
  <si>
    <t>'Contract coverage page covers the issues' — confirm whether that page already exists elsewhere in the app, or is itself new scope not covered by these notes.</t>
  </si>
  <si>
    <t>S2.4</t>
  </si>
  <si>
    <t>RMPM Connectivity — date-entry popup rework</t>
  </si>
  <si>
    <t>RmpmBomPendingContent.tsx shows a BOM table plus a single manual AssumptionDateInput when BOM exists but PO doesn't.</t>
  </si>
  <si>
    <t>Add 'Copy for all' and 'Copy for same plant &amp; CBU' bulk-fill actions on connectivity date. Remove the BOM-of-material table and its subtitle from inside the popup, leaving only a single date input at the end. Relabel 'Lies with Procurement' to 'Contract issues' inside the popup. For the contract-available path: rename 'Lies with factory' to 'PO pending with factory', update the subtitle to 'BOM and contract available, PO pending with factory', and remove the BOM-materials/subtitle block and the single date input from that flow.</t>
  </si>
  <si>
    <t>S2.5</t>
  </si>
  <si>
    <t>IUT Feasibility — Lead-time regroup &amp; Pre-IUT logic</t>
  </si>
  <si>
    <t>IutFeasibilityContent.tsx (large): 7-column lane table, per-lane Possible/Not-possible toggle, editable 'Additional lead time' (default 3 days) and shelf-life threshold, expandable batch sub-tables.</t>
  </si>
  <si>
    <t>Rename 'Additional lead time' to 'Pre-IUT lead time'; default becomes 7 days when 2P/3P plants are involved, 4 days for own-to-own. Shelf-life threshold defaults to 7 days. Add a new 'Total lead time' field = Pre-IUT lead time + transit time + shelf-life threshold. Reorder and group Pre-IUT lead time, transit time, and shelf-life threshold under one 'Lead time' section.</t>
  </si>
  <si>
    <t>ShelfLifeContent.tsx already exists as a separate tile but is currently disconnected (imports a data export that no longer exists, and is never rendered) — decide whether Shelf Life stays its own tile or is fully folded into this 'Lead time' section, since that determines which file the work lands in.</t>
  </si>
  <si>
    <t>S2.6</t>
  </si>
  <si>
    <t>IUT Feasibility — Confidence score &amp; tooltip</t>
  </si>
  <si>
    <t>No historical-execution concept exists today — 'confidence' isn't modeled in IutFeasibilityContent.tsx at all.</t>
  </si>
  <si>
    <t>Confidence score becomes 'number of times IUT is done over the last 12 months'. Add a tooltip on the 'Possible' column header explaining how an address/lane issue is determined.</t>
  </si>
  <si>
    <t>S2.7</t>
  </si>
  <si>
    <t>IUT Feasibility — Batch information as a table</t>
  </si>
  <si>
    <t>Batch data today renders as expandable sub-cards with checkboxes (a local MATERIAL_BATCH_DATA constant, 3 hardcoded rows), not a table.</t>
  </si>
  <si>
    <t>Convert batch information into a proper table layout.</t>
  </si>
  <si>
    <t>S2.8</t>
  </si>
  <si>
    <t>MOQ Break — remove SOB/lead time, redefine confidence score</t>
  </si>
  <si>
    <t>MoqBreakContent.tsx (medium): a 6-column supplier table including SOB and lead-time columns, per-supplier 'Can break MOQ' toggle, sourced from MOQ_BREAK_MATERIALS / MOQ_BREAK_SUPPLIERS constants.</t>
  </si>
  <si>
    <t>Remove the SOB and lead-time columns. Confidence score becomes 'number of times MOQ has been broken in the last 12 months'.</t>
  </si>
  <si>
    <t>S2.9</t>
  </si>
  <si>
    <t>MOQ Break — new columns</t>
  </si>
  <si>
    <t>Same MoqBreakContent.tsx table as above.</t>
  </si>
  <si>
    <t>Add two new columns: MOQ against material &amp; supplier, and the minimum MOQ value observed in the last 12 months.</t>
  </si>
  <si>
    <t>S2.10</t>
  </si>
  <si>
    <t>Customise Inputs</t>
  </si>
  <si>
    <t>MaterialScopeContent.tsx (medium): a 5-column table grouped by Old CBU with a per-material 'Considered for downstocking' checkbox, own hardcoded MATERIAL_SCOPE_DATA. (A dead, superseded inline MaterialScopeContentOld also still sits unused inside SimulationAssumptionsStep.tsx.)</t>
  </si>
  <si>
    <t>Add a row item for supplier feedstock, positioned below supplier inventory. Add a UOM column against every RMPM header. The source notes themselves flag an unresolved open point: whether CBU should be included as a dimension in Customise Inputs.</t>
  </si>
  <si>
    <t>Explicitly marked as an open point in the review notes: inclusion of CBU in Customise Inputs is undecided. No effort is included for this until scoped — could range from a small filter add to a structural rework of the table's grouping.</t>
  </si>
  <si>
    <t>S3.1</t>
  </si>
  <si>
    <t>Rename "Procurement" → "Procure"</t>
  </si>
  <si>
    <t>The SCENARIOS constant (sciDetails/constants.ts) hardcodes the display name 'Procurement' (id 'moq'), which also feeds compound labels like 'IUT + Procurement' and 'IUT + Procurement (Break MOQ)'. The string is used directly as display text across ScenarioComparisonStep.tsx (~1,540 lines) and its detail views.</t>
  </si>
  <si>
    <t>Change the standalone scenario's display name from 'Procurement' to 'Procure' everywhere it appears (comparison table, badges, detail drawer, custom-scenario flows).</t>
  </si>
  <si>
    <t>Confirm whether every 'Procurement' occurrence becomes 'Procure' (including compound labels like 'IUT + Procurement' and the Procurement table/section headers), or only the standalone scenario name — the notes show only one line item for this.</t>
  </si>
  <si>
    <t>S3.2</t>
  </si>
  <si>
    <t>IUT + Procurement — "Total cost" → "IUT cost"</t>
  </si>
  <si>
    <t>ScenarioDetailTable.tsx renders a 'Total cost' stat tile per scenario, computed from hardcoded/derived SCENARIOS figures — there is no cost engine that separates IUT-only cost from blended/procurement cost.</t>
  </si>
  <si>
    <t>Relabel the tile from 'Total cost' to 'IUT cost', and the underlying figure must actually represent IUT-only cost rather than a blended total.</t>
  </si>
  <si>
    <t>S3.3</t>
  </si>
  <si>
    <t>IUT + Procurement — Procurement table column removal</t>
  </si>
  <si>
    <t>ScenarioDetailTable.tsx's Procurement section includes price/unit and total procurement cost columns.</t>
  </si>
  <si>
    <t>Remove the price/unit and total procurement cost columns from the Procurement table within the IUT + Procurement scenario detail.</t>
  </si>
  <si>
    <t>S3.4</t>
  </si>
  <si>
    <t>IUT + Procurement — Lane availability</t>
  </si>
  <si>
    <t>No lane-capacity/availability concept exists today. IutFeasibilityContent has a Possible/Not-possible toggle, but that's route feasibility, not capacity/availability at the point of scenario execution.</t>
  </si>
  <si>
    <t>Add IUT lane availability information to the IUT + Procurement scenario detail.</t>
  </si>
  <si>
    <t>'Lane availability' isn't defined in the notes — real-time capacity? a binary open/closed flag? a scheduled availability window? This changes both the UI shape and the size of the integration.</t>
  </si>
  <si>
    <t>S3.5</t>
  </si>
  <si>
    <t>Custom scenario — summary &amp; component breakdown by plant</t>
  </si>
  <si>
    <t>step4/TransposedComponentBreakdownTable.tsx (642 lines, very large — a dense plant × component matrix with on-hand/open-PO/producible/leftover/prod-stop-date rows) and step4/ScenarioDetailView.tsx already render this for the 5 predefined scenarios. CustomScenarioDetailView.tsx (the custom-scenario replay view) does not currently include this breakdown or a summary section. A parallel, near-complete alternate build already exists in the dead CustomScenarioDetailPage.tsx (1,454 lines, confirmed unreachable — no live call site ever sets the flag that renders it).</t>
  </si>
  <si>
    <t>Add a summary section and the existing component-breakdown-by-plant table to the Custom scenario detail view.</t>
  </si>
  <si>
    <t>A near-complete alternate implementation of this already exists in the dead CustomScenarioDetailPage.tsx (1,454 lines) — a build-vs-revive decision here could meaningfully cut this row's effort.</t>
  </si>
  <si>
    <t>Workstream</t>
  </si>
  <si>
    <t>Why it's needed</t>
  </si>
  <si>
    <t>Scope</t>
  </si>
  <si>
    <t>UI (d)</t>
  </si>
  <si>
    <t>TOTAL — No GenAI (d)</t>
  </si>
  <si>
    <t>TOTAL — GenAI (d)</t>
  </si>
  <si>
    <t>F.1</t>
  </si>
  <si>
    <t>Backend API &amp; data-contract layer</t>
  </si>
  <si>
    <t>Confirmed by direct code inspection: only ONE hook in the whole feature (useCbuListQuery) follows a real React Query pattern, and even that resolves against cbuApi.ts's delay()-wrapped hardcoded arrays. Every other data point across Steps 2-4 (PO lines, BOM, contracts, IUT lanes, MOQ, scenarios, component breakdowns) is a local TS constant or component state — there is no API surface to integrate against yet.</t>
  </si>
  <si>
    <t>Design and stand up real REST/GraphQL endpoints (or confirm existing enterprise services) for: CBU master data, Open PO lines, BOM/contract status, IUT lanes &amp; lane availability, MOQ/supplier data, scenario results, custom-scenario persistence, and drafts/projects. Existing `/** GET ... */` comments in cbuApi.ts give a starting contract shape for the CBU endpoints only.</t>
  </si>
  <si>
    <t>Are any of these already exposed by an existing enterprise system, or does every one need to be built new? This is the single largest swing factor in the entire estimate.</t>
  </si>
  <si>
    <t>F.2</t>
  </si>
  <si>
    <t>Source-system integration (SAP / RMPM / Contract Coverage / IUT lane systems)</t>
  </si>
  <si>
    <t>No integration code exists for any external system today; all 'as per PO (SAP)', 'contract issues', and lane-availability logic referenced in the review notes assumes live upstream systems that aren't connected in the prototype.</t>
  </si>
  <si>
    <t>Establish and integrate live data feeds for SAP PO/delivery data, RMPM/BOM contract coverage status, and IUT lane/logistics availability.</t>
  </si>
  <si>
    <t>Ownership, auth model and environment access for each upstream system (SAP, Contract Coverage, IUT/logistics) need confirmation with the respective platform teams before this can be scheduled — likely the single biggest timeline risk in the project, largely outside engineering's control.</t>
  </si>
  <si>
    <t>F.3</t>
  </si>
  <si>
    <t>Scenario generation / optimization engine</t>
  </si>
  <si>
    <t>Confirmed: all 5 scenarios' business-waste, FG-days-cover, feasible-producible and production-stop-date figures in the SCENARIOS constant are hand-authored, not calculated. The only 'calculation' anywhere in Step 3 is a synthetic placeholder formula for custom-scenario overrides (e.g. rowCount × 110) — not a real simulation.</t>
  </si>
  <si>
    <t>Build the real engine that computes each scenario's waste/cost/coverage/run-out-date outputs from live inventory, demand, lead-time, MOQ and cost inputs — this is what everything captured in Steps 1-2 ultimately needs to feed.</t>
  </si>
  <si>
    <t>No calculation methodology is defined anywhere in the current codebase or the review notes — this needs a spec from the business/supply-chain team before engineering can size it accurately; the figure here is a rough placeholder pending that spec.</t>
  </si>
  <si>
    <t>F.4</t>
  </si>
  <si>
    <t>Code-health prerequisites (dead code &amp; duplication)</t>
  </si>
  <si>
    <t>Direct inspection found: (1) a duplicate pair, scenarioDetailModel.ts and scenarioDetailModel.tsx, with near-identical logic — only the .ts version is actually imported; (2) CustomScenarioDetailPage.tsx, 1,454 lines, entirely unreachable; (3) the whole scenarioMindMap/ directory (3 files, 1,000+ lines) is unused within this feature; (4) ShelfLifeContent.tsx imports a data export that no longer exists and is never rendered; (5) SimulationAssumptionsStep.tsx contains an orphaned inline MaterialScopeContentOld component superseded by MaterialScopeContent.tsx.</t>
  </si>
  <si>
    <t>Before relying on the 60% UI-reuse credit assumed elsewhere in this document, resolve: delete or reconcile the duplicate scenarioDetailModel files; decide whether to delete, revive or harvest CustomScenarioDetailPage.tsx and scenarioMindMap/*; fix or remove ShelfLifeContent.tsx; remove the dead MaterialScopeContentOld block.</t>
  </si>
  <si>
    <t>The 60% prototype-UI-reuse assumption used throughout this document applies only to LIVE, reachable code — dead files (1,454 + 1,000+ lines) are excluded from that credit unless a decision is made to revive them, which would need separate costing.</t>
  </si>
  <si>
    <t>F.5</t>
  </si>
  <si>
    <t>Auth, environments, deployment, observability</t>
  </si>
  <si>
    <t>Not assessed in the file-level code review (out of scope for a feature-level pass) — standard platform work assumed necessary for any production launch.</t>
  </si>
  <si>
    <t>Environment/config management, auth &amp; permissions for save/accept/draft actions, deployment pipeline, logging and monitoring for the new API surface.</t>
  </si>
  <si>
    <t>F.6</t>
  </si>
  <si>
    <t>QA / UAT / regression testing</t>
  </si>
  <si>
    <t>No automated test coverage was observed for this feature during the review.</t>
  </si>
  <si>
    <t>End-to-end and regression testing across all 3 steps once real data/logic/API integration replaces the current mocks, plus UAT sign-off against the review notes.</t>
  </si>
  <si>
    <t>Area</t>
  </si>
  <si>
    <t>Open Question / Functional Gap</t>
  </si>
  <si>
    <t>Why it matters for effort/timeline</t>
  </si>
  <si>
    <t>Backend / API</t>
  </si>
  <si>
    <t>Are any of the required data feeds (CBU master, PO/SAP, RMPM/contract, IUT lane, MOQ, supplier inventory) already exposed by an existing enterprise service, or must every one be built new?</t>
  </si>
  <si>
    <t>Single largest swing factor in the whole estimate — F.1/F.2 alone are ~46 of ~195 total person-days; changes the API-integration numbers more than any other factor in this document.</t>
  </si>
  <si>
    <t>Source systems</t>
  </si>
  <si>
    <t>Who owns SAP, the Contract Coverage system, and the IUT lane/logistics system, and what's the process/timeline to get integration access to each?</t>
  </si>
  <si>
    <t>Largely an elapsed-time/dependency risk outside engineering's control, not a coding-effort risk — could extend the calendar timeline well beyond the person-day estimate regardless of team size or GenAI use.</t>
  </si>
  <si>
    <t>Scenario engine</t>
  </si>
  <si>
    <t>Is there a documented calculation methodology for how waste, cost, FG-days-cover and production-stop-date should be derived from live inputs? Today all 5 scenario outputs are hand-authored constants with no real formula behind them.</t>
  </si>
  <si>
    <t>F.3's estimate is a rough placeholder; the real number depends entirely on a spec that doesn't yet exist in the codebase or the review notes.</t>
  </si>
  <si>
    <t>Customise Inputs (Step 2)</t>
  </si>
  <si>
    <t>Should CBU be included as a dimension/filter in Customise Inputs?</t>
  </si>
  <si>
    <t>Explicitly flagged as unresolved in the source review notes; no effort is included pending scope.</t>
  </si>
  <si>
    <t>RMPM connectivity</t>
  </si>
  <si>
    <t>Does the 'Contract coverage page' referenced in the notes ('contract coverage page covers the issues') already exist elsewhere in the app, or is it new scope?</t>
  </si>
  <si>
    <t>If new, this adds a full page's worth of UI + logic + API effort not currently counted anywhere in this document.</t>
  </si>
  <si>
    <t>IUT Feasibility / Shelf life</t>
  </si>
  <si>
    <t>Should Shelf Life Threshold remain its own tile (ShelfLifeContent.tsx exists but is currently disconnected/broken), or fully merge into the IUT Feasibility 'Lead time' section per the grouping note?</t>
  </si>
  <si>
    <t>Determines which file absorbs the work, and whether the existing broken component is fixed, replaced, or deleted.</t>
  </si>
  <si>
    <t>Custom scenario detail</t>
  </si>
  <si>
    <t>A 1,454-line alternate build of 'summary + component breakdown' (CustomScenarioDetailPage.tsx) is fully coded but unreachable. Revive/adapt it, or build fresh against CustomScenarioDetailView.tsx as scoped in S3.5?</t>
  </si>
  <si>
    <t>Could meaningfully cut S3.5's effort if reused, but needs a decision before work starts.</t>
  </si>
  <si>
    <t>Naming</t>
  </si>
  <si>
    <t>When 'Procurement' becomes 'Procure', does that apply only to the standalone scenario name, or also to compound labels ('IUT + Procurement'), the Procurement table headers, and any downstream/report labels?</t>
  </si>
  <si>
    <t>Small effort either way, but ambiguous scope risks rework or missed spots without a single source-of-truth string list.</t>
  </si>
  <si>
    <t>Lane availability (Step 3)</t>
  </si>
  <si>
    <t>What does 'IUT lane availability' mean operationally — real-time capacity, a binary open/closed flag, or a scheduled availability window?</t>
  </si>
  <si>
    <t>Directly changes both the UI shape and the size of the new integration in S3.4.</t>
  </si>
  <si>
    <t>Drafts / projects</t>
  </si>
  <si>
    <t>What is the intended persistence model for 'Save'/drafts — single-user autosave, versioned drafts, or shared multi-user projects?</t>
  </si>
  <si>
    <t>S1.3's estimate assumes a simple single-owner draft; a versioned/multi-user model would be materially larger.</t>
  </si>
  <si>
    <t>Supplier inventory &amp; feedstock</t>
  </si>
  <si>
    <t>What system is the source of truth for supplier inventory and feedstock values when 'available'?</t>
  </si>
  <si>
    <t>Determines whether S2.2 is a straightforward integration into an existing feed, or a new one (larger effort).</t>
  </si>
  <si>
    <t>Code health</t>
  </si>
  <si>
    <t>Should the confirmed dead code (CustomScenarioDetailPage.tsx, scenarioMindMap/*, duplicate scenarioDetailModel files, broken ShelfLifeContent.tsx) be deleted, revived, or left as-is?</t>
  </si>
  <si>
    <t>Affects how much of the 60%-UI-reuse credit used throughout this document is actually realizable — reuse only applies to live, reachable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</si>
</sst>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3864"/>
      <sz val="16"/>
    </font>
    <font>
      <sz val="10"/>
    </font>
    <font>
      <b/>
      <color rgb="FF1F3864"/>
      <sz val="12"/>
    </font>
    <font>
      <b/>
      <color rgb="FFFFFFFF"/>
      <sz val="10"/>
    </font>
    <font>
      <b/>
      <sz val="10"/>
    </font>
    <font>
      <i/>
      <color rgb="FF666666"/>
      <sz val="9"/>
    </font>
    <font>
      <b/>
      <sz val="9.5"/>
    </font>
    <font>
      <sz val="9.5"/>
    </font>
  </fonts>
  <fills count="7">
    <fill>
      <patternFill patternType="none"/>
    </fill>
    <fill>
      <patternFill patternType="gray125"/>
    </fill>
    <fill>
      <patternFill patternType="solid">
        <fgColor rgb="FF1F3864"/>
      </patternFill>
    </fill>
    <fill>
      <patternFill patternType="solid">
        <fgColor rgb="FFE2EFDA"/>
      </patternFill>
    </fill>
    <fill>
      <patternFill patternType="solid">
        <fgColor rgb="F2F2F2"/>
      </patternFill>
    </fill>
    <fill>
      <patternFill patternType="solid">
        <fgColor rgb="FFFFF2CC"/>
      </patternFill>
    </fill>
    <fill>
      <patternFill patternType="solid">
        <fgColor rgb="FFDCE6F1"/>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2" fillId="3" borderId="1" xfId="0" applyFont="1" applyFill="1" applyBorder="1" applyAlignment="1">
      <alignment horizontal="center" vertical="center"/>
    </xf>
    <xf numFmtId="0" fontId="6" fillId="0" borderId="0" xfId="0" applyFont="1"/>
    <xf numFmtId="0" fontId="7" fillId="0" borderId="1" xfId="0" applyFont="1" applyBorder="1" applyAlignment="1">
      <alignment horizontal="center"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4"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5" fillId="6" borderId="1" xfId="0" applyFont="1" applyFill="1" applyBorder="1" applyAlignment="1">
      <alignment horizontal="center" vertical="center"/>
    </xf>
    <xf numFmtId="0" fontId="5" fillId="6" borderId="1" xfId="0" applyFont="1" applyFill="1" applyBorder="1" applyAlignment="1">
      <alignment horizontal="left"/>
    </xf>
    <xf numFmtId="0" fontId="5"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3"/>
  <sheetFormatPr defaultRowHeight="15" outlineLevelRow="0" outlineLevelCol="0" x14ac:dyDescent="55"/>
  <cols>
    <col min="1" max="1" width="4" customWidth="1"/>
    <col min="2" max="2" width="100" customWidth="1"/>
  </cols>
  <sheetData>
    <row r="1" spans="2:2" x14ac:dyDescent="0.25">
      <c r="B1" s="1" t="s">
        <v>0</v>
      </c>
    </row>
    <row r="3" ht="90" customHeight="1" spans="2:2" x14ac:dyDescent="0.25">
      <c r="B3" s="2" t="s">
        <v>1</v>
      </c>
    </row>
    <row r="5" spans="2:2" x14ac:dyDescent="0.25">
      <c r="B5" s="3" t="s">
        <v>2</v>
      </c>
    </row>
    <row r="6" ht="45" customHeight="1" spans="2:2" x14ac:dyDescent="0.25">
      <c r="B6" s="2" t="s">
        <v>3</v>
      </c>
    </row>
    <row r="7" ht="90" customHeight="1" spans="2:2" x14ac:dyDescent="0.25">
      <c r="B7" s="2" t="s">
        <v>4</v>
      </c>
    </row>
    <row r="8" ht="45" customHeight="1" spans="2:2" x14ac:dyDescent="0.25">
      <c r="B8" s="2" t="s">
        <v>5</v>
      </c>
    </row>
    <row r="9" ht="45" customHeight="1" spans="2:2" x14ac:dyDescent="0.25">
      <c r="B9" s="2" t="s">
        <v>6</v>
      </c>
    </row>
    <row r="10" ht="45" customHeight="1" spans="2:2" x14ac:dyDescent="0.25">
      <c r="B10" s="2" t="s">
        <v>7</v>
      </c>
    </row>
    <row r="11" ht="30" customHeight="1" spans="2:2" x14ac:dyDescent="0.25">
      <c r="B11" s="2" t="s">
        <v>8</v>
      </c>
    </row>
    <row r="13" spans="2:2" x14ac:dyDescent="0.25">
      <c r="B13" s="3" t="s">
        <v>9</v>
      </c>
    </row>
    <row r="14" ht="45" customHeight="1" spans="2:2" x14ac:dyDescent="0.25">
      <c r="B14" s="2" t="s">
        <v>10</v>
      </c>
    </row>
    <row r="15" ht="45" customHeight="1" spans="2:2" x14ac:dyDescent="0.25">
      <c r="B15" s="2" t="s">
        <v>11</v>
      </c>
    </row>
    <row r="16" ht="30" customHeight="1" spans="2:2" x14ac:dyDescent="0.25">
      <c r="B16" s="2" t="s">
        <v>12</v>
      </c>
    </row>
    <row r="17" ht="45" customHeight="1" spans="2:2" x14ac:dyDescent="0.25">
      <c r="B17" s="2" t="s">
        <v>13</v>
      </c>
    </row>
    <row r="19" spans="2:2" x14ac:dyDescent="0.25">
      <c r="B19" s="3" t="s">
        <v>14</v>
      </c>
    </row>
    <row r="20" ht="18" customHeight="1" spans="2:2" x14ac:dyDescent="0.25">
      <c r="B20" s="2" t="s">
        <v>15</v>
      </c>
    </row>
    <row r="21" ht="30" customHeight="1" spans="2:2" x14ac:dyDescent="0.25">
      <c r="B21" s="2" t="s">
        <v>16</v>
      </c>
    </row>
    <row r="22" ht="30" customHeight="1" spans="2:2" x14ac:dyDescent="0.25">
      <c r="B22" s="2" t="s">
        <v>17</v>
      </c>
    </row>
    <row r="23" ht="30" customHeight="1" spans="2:2" x14ac:dyDescent="0.25">
      <c r="B23" s="2"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cols>
    <col min="1" max="1" width="46" customWidth="1"/>
    <col min="2" max="2" width="12" customWidth="1"/>
    <col min="3" max="3" width="13" customWidth="1"/>
    <col min="4" max="5" width="16" customWidth="1"/>
    <col min="6" max="6" width="20" customWidth="1"/>
  </cols>
  <sheetData>
    <row r="1" ht="32" customHeight="1" spans="1:6" x14ac:dyDescent="0.25">
      <c r="A1" s="4" t="s">
        <v>19</v>
      </c>
      <c r="B1" s="4" t="s">
        <v>20</v>
      </c>
      <c r="C1" s="4" t="s">
        <v>21</v>
      </c>
      <c r="D1" s="4" t="s">
        <v>22</v>
      </c>
      <c r="E1" s="4" t="s">
        <v>23</v>
      </c>
      <c r="F1" s="4" t="s">
        <v>24</v>
      </c>
    </row>
    <row r="2" spans="1:6" x14ac:dyDescent="0.25">
      <c r="A2" s="5" t="s">
        <v>25</v>
      </c>
      <c r="B2" s="6">
        <v>34.5</v>
      </c>
      <c r="C2" s="6">
        <v>64</v>
      </c>
      <c r="D2" s="6">
        <v>96</v>
      </c>
      <c r="E2" s="6">
        <v>194.5</v>
      </c>
      <c r="F2" s="6" t="s">
        <v>26</v>
      </c>
    </row>
    <row r="3" spans="1:6" x14ac:dyDescent="0.25">
      <c r="A3" s="5" t="s">
        <v>27</v>
      </c>
      <c r="B3" s="6">
        <v>17.3</v>
      </c>
      <c r="C3" s="6">
        <v>41.6</v>
      </c>
      <c r="D3" s="6">
        <v>76.8</v>
      </c>
      <c r="E3" s="6">
        <v>135.7</v>
      </c>
      <c r="F3" s="6" t="s">
        <v>28</v>
      </c>
    </row>
    <row r="4" spans="1:6" x14ac:dyDescent="0.25">
      <c r="A4" s="5" t="s">
        <v>29</v>
      </c>
      <c r="B4" s="6">
        <v>13.8</v>
      </c>
      <c r="C4" s="6">
        <v>64</v>
      </c>
      <c r="D4" s="6">
        <v>96</v>
      </c>
      <c r="E4" s="6">
        <v>173.8</v>
      </c>
      <c r="F4" s="6" t="s">
        <v>30</v>
      </c>
    </row>
    <row r="5" spans="1:6" x14ac:dyDescent="0.25">
      <c r="A5" s="5" t="s">
        <v>31</v>
      </c>
      <c r="B5" s="6">
        <v>6.9</v>
      </c>
      <c r="C5" s="6">
        <v>41.6</v>
      </c>
      <c r="D5" s="6">
        <v>76.8</v>
      </c>
      <c r="E5" s="6">
        <v>125.3</v>
      </c>
      <c r="F5" s="6" t="s">
        <v>32</v>
      </c>
    </row>
    <row r="7" spans="1:6" x14ac:dyDescent="0.25">
      <c r="A7" s="7" t="s">
        <v>33</v>
      </c>
      <c r="B7" s="7"/>
      <c r="C7" s="7"/>
      <c r="D7" s="7"/>
      <c r="E7" s="7"/>
      <c r="F7" s="7"/>
    </row>
  </sheetData>
  <mergeCells count="1">
    <mergeCell ref="A7:F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30" customWidth="1"/>
    <col min="3" max="3" width="34" customWidth="1"/>
    <col min="4" max="4" width="40" customWidth="1"/>
    <col min="5" max="6" width="11" customWidth="1"/>
    <col min="8" max="8" width="11" customWidth="1"/>
    <col min="9" max="12" width="14" customWidth="1"/>
    <col min="13" max="13" width="44" customWidth="1"/>
  </cols>
  <sheetData>
    <row r="1" ht="32" customHeight="1" spans="1:13" x14ac:dyDescent="0.25">
      <c r="A1" s="4" t="s">
        <v>34</v>
      </c>
      <c r="B1" s="4" t="s">
        <v>35</v>
      </c>
      <c r="C1" s="4" t="s">
        <v>36</v>
      </c>
      <c r="D1" s="4" t="s">
        <v>37</v>
      </c>
      <c r="E1" s="4" t="s">
        <v>38</v>
      </c>
      <c r="F1" s="4" t="s">
        <v>39</v>
      </c>
      <c r="G1" s="4" t="s">
        <v>40</v>
      </c>
      <c r="H1" s="4" t="s">
        <v>41</v>
      </c>
      <c r="I1" s="4" t="s">
        <v>42</v>
      </c>
      <c r="J1" s="4" t="s">
        <v>43</v>
      </c>
      <c r="K1" s="4" t="s">
        <v>44</v>
      </c>
      <c r="L1" s="4" t="s">
        <v>45</v>
      </c>
      <c r="M1" s="4" t="s">
        <v>46</v>
      </c>
    </row>
    <row r="2" ht="46" customHeight="1" spans="1:13" x14ac:dyDescent="0.25">
      <c r="A2" s="8" t="s">
        <v>47</v>
      </c>
      <c r="B2" s="9" t="s">
        <v>48</v>
      </c>
      <c r="C2" s="9" t="s">
        <v>49</v>
      </c>
      <c r="D2" s="9" t="s">
        <v>50</v>
      </c>
      <c r="E2" s="10">
        <v>1.5</v>
      </c>
      <c r="F2" s="10">
        <v>0.6</v>
      </c>
      <c r="G2" s="10">
        <v>1</v>
      </c>
      <c r="H2" s="10">
        <v>0.5</v>
      </c>
      <c r="I2" s="11">
        <v>3</v>
      </c>
      <c r="J2" s="12">
        <v>1.9</v>
      </c>
      <c r="K2" s="11">
        <v>2.1</v>
      </c>
      <c r="L2" s="12">
        <v>1.4</v>
      </c>
      <c r="M2" s="13" t="s">
        <v>51</v>
      </c>
    </row>
    <row r="3" ht="46" customHeight="1" spans="1:13" x14ac:dyDescent="0.25">
      <c r="A3" s="8" t="s">
        <v>52</v>
      </c>
      <c r="B3" s="9" t="s">
        <v>53</v>
      </c>
      <c r="C3" s="9" t="s">
        <v>54</v>
      </c>
      <c r="D3" s="9" t="s">
        <v>55</v>
      </c>
      <c r="E3" s="10">
        <v>1</v>
      </c>
      <c r="F3" s="10">
        <v>0.4</v>
      </c>
      <c r="G3" s="10">
        <v>1</v>
      </c>
      <c r="H3" s="10">
        <v>4</v>
      </c>
      <c r="I3" s="11">
        <v>6</v>
      </c>
      <c r="J3" s="12">
        <v>4.4</v>
      </c>
      <c r="K3" s="11">
        <v>5.4</v>
      </c>
      <c r="L3" s="12">
        <v>4.1</v>
      </c>
      <c r="M3" s="9" t="s">
        <v>56</v>
      </c>
    </row>
    <row r="4" ht="46" customHeight="1" spans="1:13" x14ac:dyDescent="0.25">
      <c r="A4" s="8" t="s">
        <v>57</v>
      </c>
      <c r="B4" s="9" t="s">
        <v>58</v>
      </c>
      <c r="C4" s="9" t="s">
        <v>59</v>
      </c>
      <c r="D4" s="9" t="s">
        <v>60</v>
      </c>
      <c r="E4" s="10">
        <v>2</v>
      </c>
      <c r="F4" s="10">
        <v>0.8</v>
      </c>
      <c r="G4" s="10">
        <v>3</v>
      </c>
      <c r="H4" s="10">
        <v>6</v>
      </c>
      <c r="I4" s="11">
        <v>11</v>
      </c>
      <c r="J4" s="12">
        <v>7.8</v>
      </c>
      <c r="K4" s="11">
        <v>9.8</v>
      </c>
      <c r="L4" s="12">
        <v>7.2</v>
      </c>
      <c r="M4" s="13" t="s">
        <v>61</v>
      </c>
    </row>
    <row r="5" spans="1:13" x14ac:dyDescent="0.25">
      <c r="A5" s="14" t="s">
        <v>62</v>
      </c>
      <c r="B5" s="15" t="s">
        <v>63</v>
      </c>
      <c r="C5" s="14" t="s">
        <v>62</v>
      </c>
      <c r="D5" s="14" t="s">
        <v>62</v>
      </c>
      <c r="E5" s="14">
        <f>SUM(E2:E4)</f>
      </c>
      <c r="F5" s="14">
        <f>SUM(F2:F4)</f>
      </c>
      <c r="G5" s="14">
        <f>SUM(G2:G4)</f>
      </c>
      <c r="H5" s="14">
        <f>SUM(H2:H4)</f>
      </c>
      <c r="I5" s="14">
        <f>SUM(I2:I4)</f>
      </c>
      <c r="J5" s="14">
        <f>SUM(J2:J4)</f>
      </c>
      <c r="K5" s="14">
        <f>SUM(K2:K4)</f>
      </c>
      <c r="L5" s="14">
        <f>SUM(L2:L4)</f>
      </c>
      <c r="M5" s="14" t="s">
        <v>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30" customWidth="1"/>
    <col min="3" max="3" width="34" customWidth="1"/>
    <col min="4" max="4" width="40" customWidth="1"/>
    <col min="5" max="6" width="11" customWidth="1"/>
    <col min="8" max="8" width="11" customWidth="1"/>
    <col min="9" max="12" width="14" customWidth="1"/>
    <col min="13" max="13" width="44" customWidth="1"/>
  </cols>
  <sheetData>
    <row r="1" ht="32" customHeight="1" spans="1:13" x14ac:dyDescent="0.25">
      <c r="A1" s="4" t="s">
        <v>34</v>
      </c>
      <c r="B1" s="4" t="s">
        <v>35</v>
      </c>
      <c r="C1" s="4" t="s">
        <v>36</v>
      </c>
      <c r="D1" s="4" t="s">
        <v>37</v>
      </c>
      <c r="E1" s="4" t="s">
        <v>38</v>
      </c>
      <c r="F1" s="4" t="s">
        <v>39</v>
      </c>
      <c r="G1" s="4" t="s">
        <v>40</v>
      </c>
      <c r="H1" s="4" t="s">
        <v>41</v>
      </c>
      <c r="I1" s="4" t="s">
        <v>42</v>
      </c>
      <c r="J1" s="4" t="s">
        <v>43</v>
      </c>
      <c r="K1" s="4" t="s">
        <v>44</v>
      </c>
      <c r="L1" s="4" t="s">
        <v>45</v>
      </c>
      <c r="M1" s="4" t="s">
        <v>46</v>
      </c>
    </row>
    <row r="2" ht="46" customHeight="1" spans="1:13" x14ac:dyDescent="0.25">
      <c r="A2" s="8" t="s">
        <v>64</v>
      </c>
      <c r="B2" s="9" t="s">
        <v>65</v>
      </c>
      <c r="C2" s="9" t="s">
        <v>66</v>
      </c>
      <c r="D2" s="9" t="s">
        <v>67</v>
      </c>
      <c r="E2" s="10">
        <v>2</v>
      </c>
      <c r="F2" s="10">
        <v>0.8</v>
      </c>
      <c r="G2" s="10">
        <v>1.5</v>
      </c>
      <c r="H2" s="10">
        <v>2.5</v>
      </c>
      <c r="I2" s="11">
        <v>6</v>
      </c>
      <c r="J2" s="12">
        <v>4</v>
      </c>
      <c r="K2" s="11">
        <v>4.8</v>
      </c>
      <c r="L2" s="12">
        <v>3.4</v>
      </c>
      <c r="M2" s="9" t="s">
        <v>56</v>
      </c>
    </row>
    <row r="3" ht="46" customHeight="1" spans="1:13" x14ac:dyDescent="0.25">
      <c r="A3" s="8" t="s">
        <v>68</v>
      </c>
      <c r="B3" s="9" t="s">
        <v>69</v>
      </c>
      <c r="C3" s="9" t="s">
        <v>70</v>
      </c>
      <c r="D3" s="9" t="s">
        <v>71</v>
      </c>
      <c r="E3" s="10">
        <v>3</v>
      </c>
      <c r="F3" s="10">
        <v>1.2</v>
      </c>
      <c r="G3" s="10">
        <v>2</v>
      </c>
      <c r="H3" s="10">
        <v>4.5</v>
      </c>
      <c r="I3" s="11">
        <v>9.5</v>
      </c>
      <c r="J3" s="12">
        <v>6.4</v>
      </c>
      <c r="K3" s="11">
        <v>7.7</v>
      </c>
      <c r="L3" s="12">
        <v>5.5</v>
      </c>
      <c r="M3" s="13" t="s">
        <v>72</v>
      </c>
    </row>
    <row r="4" ht="46" customHeight="1" spans="1:13" x14ac:dyDescent="0.25">
      <c r="A4" s="8" t="s">
        <v>73</v>
      </c>
      <c r="B4" s="9" t="s">
        <v>74</v>
      </c>
      <c r="C4" s="9" t="s">
        <v>75</v>
      </c>
      <c r="D4" s="9" t="s">
        <v>76</v>
      </c>
      <c r="E4" s="10">
        <v>3</v>
      </c>
      <c r="F4" s="10">
        <v>1.2</v>
      </c>
      <c r="G4" s="10">
        <v>4.5</v>
      </c>
      <c r="H4" s="10">
        <v>5.5</v>
      </c>
      <c r="I4" s="11">
        <v>13</v>
      </c>
      <c r="J4" s="12">
        <v>8.8</v>
      </c>
      <c r="K4" s="11">
        <v>11.2</v>
      </c>
      <c r="L4" s="12">
        <v>7.9</v>
      </c>
      <c r="M4" s="13" t="s">
        <v>77</v>
      </c>
    </row>
    <row r="5" ht="46" customHeight="1" spans="1:13" x14ac:dyDescent="0.25">
      <c r="A5" s="8" t="s">
        <v>78</v>
      </c>
      <c r="B5" s="9" t="s">
        <v>79</v>
      </c>
      <c r="C5" s="9" t="s">
        <v>80</v>
      </c>
      <c r="D5" s="9" t="s">
        <v>81</v>
      </c>
      <c r="E5" s="10">
        <v>2.5</v>
      </c>
      <c r="F5" s="10">
        <v>1</v>
      </c>
      <c r="G5" s="10">
        <v>2</v>
      </c>
      <c r="H5" s="10">
        <v>1.5</v>
      </c>
      <c r="I5" s="11">
        <v>6</v>
      </c>
      <c r="J5" s="12">
        <v>3.8</v>
      </c>
      <c r="K5" s="11">
        <v>4.5</v>
      </c>
      <c r="L5" s="12">
        <v>3</v>
      </c>
      <c r="M5" s="9" t="s">
        <v>56</v>
      </c>
    </row>
    <row r="6" ht="46" customHeight="1" spans="1:13" x14ac:dyDescent="0.25">
      <c r="A6" s="8" t="s">
        <v>82</v>
      </c>
      <c r="B6" s="9" t="s">
        <v>83</v>
      </c>
      <c r="C6" s="9" t="s">
        <v>84</v>
      </c>
      <c r="D6" s="9" t="s">
        <v>85</v>
      </c>
      <c r="E6" s="10">
        <v>2.5</v>
      </c>
      <c r="F6" s="10">
        <v>1</v>
      </c>
      <c r="G6" s="10">
        <v>2.5</v>
      </c>
      <c r="H6" s="10">
        <v>1</v>
      </c>
      <c r="I6" s="11">
        <v>6</v>
      </c>
      <c r="J6" s="12">
        <v>3.7</v>
      </c>
      <c r="K6" s="11">
        <v>4.5</v>
      </c>
      <c r="L6" s="12">
        <v>2.9</v>
      </c>
      <c r="M6" s="13" t="s">
        <v>86</v>
      </c>
    </row>
    <row r="7" ht="46" customHeight="1" spans="1:13" x14ac:dyDescent="0.25">
      <c r="A7" s="8" t="s">
        <v>87</v>
      </c>
      <c r="B7" s="9" t="s">
        <v>88</v>
      </c>
      <c r="C7" s="9" t="s">
        <v>89</v>
      </c>
      <c r="D7" s="9" t="s">
        <v>90</v>
      </c>
      <c r="E7" s="10">
        <v>1</v>
      </c>
      <c r="F7" s="10">
        <v>0.4</v>
      </c>
      <c r="G7" s="10">
        <v>1.5</v>
      </c>
      <c r="H7" s="10">
        <v>3.5</v>
      </c>
      <c r="I7" s="11">
        <v>6</v>
      </c>
      <c r="J7" s="12">
        <v>4.3</v>
      </c>
      <c r="K7" s="11">
        <v>5.4</v>
      </c>
      <c r="L7" s="12">
        <v>4</v>
      </c>
      <c r="M7" s="9" t="s">
        <v>56</v>
      </c>
    </row>
    <row r="8" ht="46" customHeight="1" spans="1:13" x14ac:dyDescent="0.25">
      <c r="A8" s="8" t="s">
        <v>91</v>
      </c>
      <c r="B8" s="9" t="s">
        <v>92</v>
      </c>
      <c r="C8" s="9" t="s">
        <v>93</v>
      </c>
      <c r="D8" s="9" t="s">
        <v>94</v>
      </c>
      <c r="E8" s="10">
        <v>1.5</v>
      </c>
      <c r="F8" s="10">
        <v>0.6</v>
      </c>
      <c r="G8" s="10">
        <v>0.5</v>
      </c>
      <c r="H8" s="10">
        <v>1</v>
      </c>
      <c r="I8" s="11">
        <v>3</v>
      </c>
      <c r="J8" s="12">
        <v>1.9</v>
      </c>
      <c r="K8" s="11">
        <v>2.1</v>
      </c>
      <c r="L8" s="12">
        <v>1.4</v>
      </c>
      <c r="M8" s="9" t="s">
        <v>56</v>
      </c>
    </row>
    <row r="9" ht="46" customHeight="1" spans="1:13" x14ac:dyDescent="0.25">
      <c r="A9" s="8" t="s">
        <v>95</v>
      </c>
      <c r="B9" s="9" t="s">
        <v>96</v>
      </c>
      <c r="C9" s="9" t="s">
        <v>97</v>
      </c>
      <c r="D9" s="9" t="s">
        <v>98</v>
      </c>
      <c r="E9" s="10">
        <v>1</v>
      </c>
      <c r="F9" s="10">
        <v>0.4</v>
      </c>
      <c r="G9" s="10">
        <v>1</v>
      </c>
      <c r="H9" s="10">
        <v>3.5</v>
      </c>
      <c r="I9" s="11">
        <v>5.5</v>
      </c>
      <c r="J9" s="12">
        <v>4</v>
      </c>
      <c r="K9" s="11">
        <v>4.9</v>
      </c>
      <c r="L9" s="12">
        <v>3.7</v>
      </c>
      <c r="M9" s="9" t="s">
        <v>56</v>
      </c>
    </row>
    <row r="10" ht="46" customHeight="1" spans="1:13" x14ac:dyDescent="0.25">
      <c r="A10" s="8" t="s">
        <v>99</v>
      </c>
      <c r="B10" s="9" t="s">
        <v>100</v>
      </c>
      <c r="C10" s="9" t="s">
        <v>101</v>
      </c>
      <c r="D10" s="9" t="s">
        <v>102</v>
      </c>
      <c r="E10" s="10">
        <v>1</v>
      </c>
      <c r="F10" s="10">
        <v>0.4</v>
      </c>
      <c r="G10" s="10">
        <v>1</v>
      </c>
      <c r="H10" s="10">
        <v>2</v>
      </c>
      <c r="I10" s="11">
        <v>4</v>
      </c>
      <c r="J10" s="12">
        <v>2.8</v>
      </c>
      <c r="K10" s="11">
        <v>3.4</v>
      </c>
      <c r="L10" s="12">
        <v>2.5</v>
      </c>
      <c r="M10" s="9" t="s">
        <v>56</v>
      </c>
    </row>
    <row r="11" ht="46" customHeight="1" spans="1:13" x14ac:dyDescent="0.25">
      <c r="A11" s="8" t="s">
        <v>103</v>
      </c>
      <c r="B11" s="9" t="s">
        <v>104</v>
      </c>
      <c r="C11" s="9" t="s">
        <v>105</v>
      </c>
      <c r="D11" s="9" t="s">
        <v>106</v>
      </c>
      <c r="E11" s="10">
        <v>1.5</v>
      </c>
      <c r="F11" s="10">
        <v>0.6</v>
      </c>
      <c r="G11" s="10">
        <v>1</v>
      </c>
      <c r="H11" s="10">
        <v>1.5</v>
      </c>
      <c r="I11" s="11">
        <v>4</v>
      </c>
      <c r="J11" s="12">
        <v>2.7</v>
      </c>
      <c r="K11" s="11">
        <v>3.1</v>
      </c>
      <c r="L11" s="12">
        <v>2.2</v>
      </c>
      <c r="M11" s="13" t="s">
        <v>107</v>
      </c>
    </row>
    <row r="12" spans="1:13" x14ac:dyDescent="0.25">
      <c r="A12" s="14" t="s">
        <v>62</v>
      </c>
      <c r="B12" s="15" t="s">
        <v>63</v>
      </c>
      <c r="C12" s="14" t="s">
        <v>62</v>
      </c>
      <c r="D12" s="14" t="s">
        <v>62</v>
      </c>
      <c r="E12" s="14">
        <f>SUM(E2:E11)</f>
      </c>
      <c r="F12" s="14">
        <f>SUM(F2:F11)</f>
      </c>
      <c r="G12" s="14">
        <f>SUM(G2:G11)</f>
      </c>
      <c r="H12" s="14">
        <f>SUM(H2:H11)</f>
      </c>
      <c r="I12" s="14">
        <f>SUM(I2:I11)</f>
      </c>
      <c r="J12" s="14">
        <f>SUM(J2:J11)</f>
      </c>
      <c r="K12" s="14">
        <f>SUM(K2:K11)</f>
      </c>
      <c r="L12" s="14">
        <f>SUM(L2:L11)</f>
      </c>
      <c r="M12" s="14" t="s">
        <v>62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30" customWidth="1"/>
    <col min="3" max="3" width="34" customWidth="1"/>
    <col min="4" max="4" width="40" customWidth="1"/>
    <col min="5" max="6" width="11" customWidth="1"/>
    <col min="8" max="8" width="11" customWidth="1"/>
    <col min="9" max="12" width="14" customWidth="1"/>
    <col min="13" max="13" width="44" customWidth="1"/>
  </cols>
  <sheetData>
    <row r="1" ht="32" customHeight="1" spans="1:13" x14ac:dyDescent="0.25">
      <c r="A1" s="4" t="s">
        <v>34</v>
      </c>
      <c r="B1" s="4" t="s">
        <v>35</v>
      </c>
      <c r="C1" s="4" t="s">
        <v>36</v>
      </c>
      <c r="D1" s="4" t="s">
        <v>37</v>
      </c>
      <c r="E1" s="4" t="s">
        <v>38</v>
      </c>
      <c r="F1" s="4" t="s">
        <v>39</v>
      </c>
      <c r="G1" s="4" t="s">
        <v>40</v>
      </c>
      <c r="H1" s="4" t="s">
        <v>41</v>
      </c>
      <c r="I1" s="4" t="s">
        <v>42</v>
      </c>
      <c r="J1" s="4" t="s">
        <v>43</v>
      </c>
      <c r="K1" s="4" t="s">
        <v>44</v>
      </c>
      <c r="L1" s="4" t="s">
        <v>45</v>
      </c>
      <c r="M1" s="4" t="s">
        <v>46</v>
      </c>
    </row>
    <row r="2" ht="46" customHeight="1" spans="1:13" x14ac:dyDescent="0.25">
      <c r="A2" s="8" t="s">
        <v>108</v>
      </c>
      <c r="B2" s="9" t="s">
        <v>109</v>
      </c>
      <c r="C2" s="9" t="s">
        <v>110</v>
      </c>
      <c r="D2" s="9" t="s">
        <v>111</v>
      </c>
      <c r="E2" s="10">
        <v>0.5</v>
      </c>
      <c r="F2" s="10">
        <v>0.2</v>
      </c>
      <c r="G2" s="10">
        <v>0.5</v>
      </c>
      <c r="H2" s="10">
        <v>0.5</v>
      </c>
      <c r="I2" s="11">
        <v>1.5</v>
      </c>
      <c r="J2" s="12">
        <v>1</v>
      </c>
      <c r="K2" s="11">
        <v>1.2</v>
      </c>
      <c r="L2" s="12">
        <v>0.8</v>
      </c>
      <c r="M2" s="13" t="s">
        <v>112</v>
      </c>
    </row>
    <row r="3" ht="46" customHeight="1" spans="1:13" x14ac:dyDescent="0.25">
      <c r="A3" s="8" t="s">
        <v>113</v>
      </c>
      <c r="B3" s="9" t="s">
        <v>114</v>
      </c>
      <c r="C3" s="9" t="s">
        <v>115</v>
      </c>
      <c r="D3" s="9" t="s">
        <v>116</v>
      </c>
      <c r="E3" s="10">
        <v>1</v>
      </c>
      <c r="F3" s="10">
        <v>0.4</v>
      </c>
      <c r="G3" s="10">
        <v>2.5</v>
      </c>
      <c r="H3" s="10">
        <v>2.5</v>
      </c>
      <c r="I3" s="11">
        <v>6</v>
      </c>
      <c r="J3" s="12">
        <v>4.1</v>
      </c>
      <c r="K3" s="11">
        <v>5.4</v>
      </c>
      <c r="L3" s="12">
        <v>3.8</v>
      </c>
      <c r="M3" s="9" t="s">
        <v>56</v>
      </c>
    </row>
    <row r="4" ht="46" customHeight="1" spans="1:13" x14ac:dyDescent="0.25">
      <c r="A4" s="8" t="s">
        <v>117</v>
      </c>
      <c r="B4" s="9" t="s">
        <v>118</v>
      </c>
      <c r="C4" s="9" t="s">
        <v>119</v>
      </c>
      <c r="D4" s="9" t="s">
        <v>120</v>
      </c>
      <c r="E4" s="10">
        <v>1</v>
      </c>
      <c r="F4" s="10">
        <v>0.4</v>
      </c>
      <c r="G4" s="10">
        <v>0.5</v>
      </c>
      <c r="H4" s="10">
        <v>0.5</v>
      </c>
      <c r="I4" s="11">
        <v>2</v>
      </c>
      <c r="J4" s="12">
        <v>1.2</v>
      </c>
      <c r="K4" s="11">
        <v>1.4</v>
      </c>
      <c r="L4" s="12">
        <v>0.9</v>
      </c>
      <c r="M4" s="9" t="s">
        <v>56</v>
      </c>
    </row>
    <row r="5" ht="46" customHeight="1" spans="1:13" x14ac:dyDescent="0.25">
      <c r="A5" s="8" t="s">
        <v>121</v>
      </c>
      <c r="B5" s="9" t="s">
        <v>122</v>
      </c>
      <c r="C5" s="9" t="s">
        <v>123</v>
      </c>
      <c r="D5" s="9" t="s">
        <v>124</v>
      </c>
      <c r="E5" s="10">
        <v>2</v>
      </c>
      <c r="F5" s="10">
        <v>0.8</v>
      </c>
      <c r="G5" s="10">
        <v>2</v>
      </c>
      <c r="H5" s="10">
        <v>4.5</v>
      </c>
      <c r="I5" s="11">
        <v>8.5</v>
      </c>
      <c r="J5" s="12">
        <v>5.9</v>
      </c>
      <c r="K5" s="11">
        <v>7.3</v>
      </c>
      <c r="L5" s="12">
        <v>5.3</v>
      </c>
      <c r="M5" s="13" t="s">
        <v>125</v>
      </c>
    </row>
    <row r="6" ht="46" customHeight="1" spans="1:13" x14ac:dyDescent="0.25">
      <c r="A6" s="8" t="s">
        <v>126</v>
      </c>
      <c r="B6" s="9" t="s">
        <v>127</v>
      </c>
      <c r="C6" s="9" t="s">
        <v>128</v>
      </c>
      <c r="D6" s="9" t="s">
        <v>129</v>
      </c>
      <c r="E6" s="10">
        <v>2</v>
      </c>
      <c r="F6" s="10">
        <v>0.8</v>
      </c>
      <c r="G6" s="10">
        <v>2</v>
      </c>
      <c r="H6" s="10">
        <v>2</v>
      </c>
      <c r="I6" s="11">
        <v>6</v>
      </c>
      <c r="J6" s="12">
        <v>3.9</v>
      </c>
      <c r="K6" s="11">
        <v>4.8</v>
      </c>
      <c r="L6" s="12">
        <v>3.3</v>
      </c>
      <c r="M6" s="13" t="s">
        <v>130</v>
      </c>
    </row>
    <row r="7" spans="1:13" x14ac:dyDescent="0.25">
      <c r="A7" s="14" t="s">
        <v>62</v>
      </c>
      <c r="B7" s="15" t="s">
        <v>63</v>
      </c>
      <c r="C7" s="14" t="s">
        <v>62</v>
      </c>
      <c r="D7" s="14" t="s">
        <v>62</v>
      </c>
      <c r="E7" s="14">
        <f>SUM(E2:E6)</f>
      </c>
      <c r="F7" s="14">
        <f>SUM(F2:F6)</f>
      </c>
      <c r="G7" s="14">
        <f>SUM(G2:G6)</f>
      </c>
      <c r="H7" s="14">
        <f>SUM(H2:H6)</f>
      </c>
      <c r="I7" s="14">
        <f>SUM(I2:I6)</f>
      </c>
      <c r="J7" s="14">
        <f>SUM(J2:J6)</f>
      </c>
      <c r="K7" s="14">
        <f>SUM(K2:K6)</f>
      </c>
      <c r="L7" s="14">
        <f>SUM(L2:L6)</f>
      </c>
      <c r="M7" s="14" t="s">
        <v>62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32" customWidth="1"/>
    <col min="3" max="3" width="44" customWidth="1"/>
    <col min="4" max="4" width="40" customWidth="1"/>
    <col min="7" max="7" width="11" customWidth="1"/>
    <col min="8" max="9" width="13" customWidth="1"/>
    <col min="10" max="10" width="44" customWidth="1"/>
  </cols>
  <sheetData>
    <row r="1" ht="32" customHeight="1" spans="1:10" x14ac:dyDescent="0.25">
      <c r="A1" s="4" t="s">
        <v>34</v>
      </c>
      <c r="B1" s="4" t="s">
        <v>131</v>
      </c>
      <c r="C1" s="4" t="s">
        <v>132</v>
      </c>
      <c r="D1" s="4" t="s">
        <v>133</v>
      </c>
      <c r="E1" s="4" t="s">
        <v>134</v>
      </c>
      <c r="F1" s="4" t="s">
        <v>40</v>
      </c>
      <c r="G1" s="4" t="s">
        <v>41</v>
      </c>
      <c r="H1" s="4" t="s">
        <v>135</v>
      </c>
      <c r="I1" s="4" t="s">
        <v>136</v>
      </c>
      <c r="J1" s="4" t="s">
        <v>46</v>
      </c>
    </row>
    <row r="2" ht="46" customHeight="1" spans="1:10" x14ac:dyDescent="0.25">
      <c r="A2" s="10" t="s">
        <v>137</v>
      </c>
      <c r="B2" s="9" t="s">
        <v>138</v>
      </c>
      <c r="C2" s="9" t="s">
        <v>139</v>
      </c>
      <c r="D2" s="9" t="s">
        <v>140</v>
      </c>
      <c r="E2" s="10">
        <v>0</v>
      </c>
      <c r="F2" s="10">
        <v>6</v>
      </c>
      <c r="G2" s="10">
        <v>16</v>
      </c>
      <c r="H2" s="11">
        <v>22</v>
      </c>
      <c r="I2" s="12">
        <v>16.7</v>
      </c>
      <c r="J2" s="9" t="s">
        <v>141</v>
      </c>
    </row>
    <row r="3" ht="46" customHeight="1" spans="1:10" x14ac:dyDescent="0.25">
      <c r="A3" s="10" t="s">
        <v>142</v>
      </c>
      <c r="B3" s="9" t="s">
        <v>143</v>
      </c>
      <c r="C3" s="9" t="s">
        <v>144</v>
      </c>
      <c r="D3" s="9" t="s">
        <v>145</v>
      </c>
      <c r="E3" s="10">
        <v>0</v>
      </c>
      <c r="F3" s="10">
        <v>4</v>
      </c>
      <c r="G3" s="10">
        <v>20</v>
      </c>
      <c r="H3" s="11">
        <v>24</v>
      </c>
      <c r="I3" s="12">
        <v>18.6</v>
      </c>
      <c r="J3" s="9" t="s">
        <v>146</v>
      </c>
    </row>
    <row r="4" ht="46" customHeight="1" spans="1:10" x14ac:dyDescent="0.25">
      <c r="A4" s="10" t="s">
        <v>147</v>
      </c>
      <c r="B4" s="9" t="s">
        <v>148</v>
      </c>
      <c r="C4" s="9" t="s">
        <v>149</v>
      </c>
      <c r="D4" s="9" t="s">
        <v>150</v>
      </c>
      <c r="E4" s="10">
        <v>0</v>
      </c>
      <c r="F4" s="10">
        <v>16</v>
      </c>
      <c r="G4" s="10">
        <v>5</v>
      </c>
      <c r="H4" s="11">
        <v>21</v>
      </c>
      <c r="I4" s="12">
        <v>14.4</v>
      </c>
      <c r="J4" s="9" t="s">
        <v>151</v>
      </c>
    </row>
    <row r="5" ht="46" customHeight="1" spans="1:10" x14ac:dyDescent="0.25">
      <c r="A5" s="10" t="s">
        <v>152</v>
      </c>
      <c r="B5" s="9" t="s">
        <v>153</v>
      </c>
      <c r="C5" s="9" t="s">
        <v>154</v>
      </c>
      <c r="D5" s="9" t="s">
        <v>155</v>
      </c>
      <c r="E5" s="10">
        <v>1</v>
      </c>
      <c r="F5" s="10">
        <v>2</v>
      </c>
      <c r="G5" s="10">
        <v>0</v>
      </c>
      <c r="H5" s="11">
        <v>3</v>
      </c>
      <c r="I5" s="12">
        <v>1.8</v>
      </c>
      <c r="J5" s="9" t="s">
        <v>156</v>
      </c>
    </row>
    <row r="6" ht="46" customHeight="1" spans="1:10" x14ac:dyDescent="0.25">
      <c r="A6" s="10" t="s">
        <v>157</v>
      </c>
      <c r="B6" s="9" t="s">
        <v>158</v>
      </c>
      <c r="C6" s="9" t="s">
        <v>159</v>
      </c>
      <c r="D6" s="9" t="s">
        <v>160</v>
      </c>
      <c r="E6" s="10">
        <v>0.5</v>
      </c>
      <c r="F6" s="10">
        <v>2</v>
      </c>
      <c r="G6" s="10">
        <v>5</v>
      </c>
      <c r="H6" s="11">
        <v>7.5</v>
      </c>
      <c r="I6" s="12">
        <v>5.6</v>
      </c>
      <c r="J6" s="9" t="s">
        <v>56</v>
      </c>
    </row>
    <row r="7" ht="46" customHeight="1" spans="1:10" x14ac:dyDescent="0.25">
      <c r="A7" s="10" t="s">
        <v>161</v>
      </c>
      <c r="B7" s="9" t="s">
        <v>162</v>
      </c>
      <c r="C7" s="9" t="s">
        <v>163</v>
      </c>
      <c r="D7" s="9" t="s">
        <v>164</v>
      </c>
      <c r="E7" s="10">
        <v>3</v>
      </c>
      <c r="F7" s="10">
        <v>4</v>
      </c>
      <c r="G7" s="10">
        <v>3</v>
      </c>
      <c r="H7" s="11">
        <v>10</v>
      </c>
      <c r="I7" s="12">
        <v>6.5</v>
      </c>
      <c r="J7" s="9" t="s">
        <v>56</v>
      </c>
    </row>
    <row r="8" spans="1:10" x14ac:dyDescent="0.25">
      <c r="A8" s="14" t="s">
        <v>62</v>
      </c>
      <c r="B8" s="15" t="s">
        <v>63</v>
      </c>
      <c r="C8" s="14" t="s">
        <v>62</v>
      </c>
      <c r="D8" s="14" t="s">
        <v>62</v>
      </c>
      <c r="E8" s="14">
        <f>SUM(E2:E7)</f>
      </c>
      <c r="F8" s="14">
        <f>SUM(F2:F7)</f>
      </c>
      <c r="G8" s="14">
        <f>SUM(G2:G7)</f>
      </c>
      <c r="H8" s="14">
        <f>SUM(H2:H7)</f>
      </c>
      <c r="I8" s="14">
        <f>SUM(I2:I7)</f>
      </c>
      <c r="J8" s="14" t="s">
        <v>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5" customWidth="1"/>
    <col min="2" max="2" width="24" customWidth="1"/>
    <col min="3" max="3" width="60" customWidth="1"/>
    <col min="4" max="4" width="50" customWidth="1"/>
  </cols>
  <sheetData>
    <row r="1" ht="32" customHeight="1" spans="1:4" x14ac:dyDescent="0.25">
      <c r="A1" s="4" t="s">
        <v>34</v>
      </c>
      <c r="B1" s="4" t="s">
        <v>165</v>
      </c>
      <c r="C1" s="4" t="s">
        <v>166</v>
      </c>
      <c r="D1" s="4" t="s">
        <v>167</v>
      </c>
    </row>
    <row r="2" ht="42" customHeight="1" spans="1:4" x14ac:dyDescent="0.25">
      <c r="A2" s="16">
        <v>1</v>
      </c>
      <c r="B2" s="17" t="s">
        <v>168</v>
      </c>
      <c r="C2" s="17" t="s">
        <v>169</v>
      </c>
      <c r="D2" s="17" t="s">
        <v>170</v>
      </c>
    </row>
    <row r="3" ht="42" customHeight="1" spans="1:4" x14ac:dyDescent="0.25">
      <c r="A3" s="16">
        <v>2</v>
      </c>
      <c r="B3" s="17" t="s">
        <v>171</v>
      </c>
      <c r="C3" s="17" t="s">
        <v>172</v>
      </c>
      <c r="D3" s="17" t="s">
        <v>173</v>
      </c>
    </row>
    <row r="4" ht="42" customHeight="1" spans="1:4" x14ac:dyDescent="0.25">
      <c r="A4" s="16">
        <v>3</v>
      </c>
      <c r="B4" s="17" t="s">
        <v>174</v>
      </c>
      <c r="C4" s="17" t="s">
        <v>175</v>
      </c>
      <c r="D4" s="17" t="s">
        <v>176</v>
      </c>
    </row>
    <row r="5" ht="42" customHeight="1" spans="1:4" x14ac:dyDescent="0.25">
      <c r="A5" s="16">
        <v>4</v>
      </c>
      <c r="B5" s="17" t="s">
        <v>177</v>
      </c>
      <c r="C5" s="17" t="s">
        <v>178</v>
      </c>
      <c r="D5" s="17" t="s">
        <v>179</v>
      </c>
    </row>
    <row r="6" ht="42" customHeight="1" spans="1:4" x14ac:dyDescent="0.25">
      <c r="A6" s="16">
        <v>5</v>
      </c>
      <c r="B6" s="17" t="s">
        <v>180</v>
      </c>
      <c r="C6" s="17" t="s">
        <v>181</v>
      </c>
      <c r="D6" s="17" t="s">
        <v>182</v>
      </c>
    </row>
    <row r="7" ht="42" customHeight="1" spans="1:4" x14ac:dyDescent="0.25">
      <c r="A7" s="16">
        <v>6</v>
      </c>
      <c r="B7" s="17" t="s">
        <v>183</v>
      </c>
      <c r="C7" s="17" t="s">
        <v>184</v>
      </c>
      <c r="D7" s="17" t="s">
        <v>185</v>
      </c>
    </row>
    <row r="8" ht="42" customHeight="1" spans="1:4" x14ac:dyDescent="0.25">
      <c r="A8" s="16">
        <v>7</v>
      </c>
      <c r="B8" s="17" t="s">
        <v>186</v>
      </c>
      <c r="C8" s="17" t="s">
        <v>187</v>
      </c>
      <c r="D8" s="17" t="s">
        <v>188</v>
      </c>
    </row>
    <row r="9" ht="42" customHeight="1" spans="1:4" x14ac:dyDescent="0.25">
      <c r="A9" s="16">
        <v>8</v>
      </c>
      <c r="B9" s="17" t="s">
        <v>189</v>
      </c>
      <c r="C9" s="17" t="s">
        <v>190</v>
      </c>
      <c r="D9" s="17" t="s">
        <v>191</v>
      </c>
    </row>
    <row r="10" ht="42" customHeight="1" spans="1:4" x14ac:dyDescent="0.25">
      <c r="A10" s="16">
        <v>9</v>
      </c>
      <c r="B10" s="17" t="s">
        <v>192</v>
      </c>
      <c r="C10" s="17" t="s">
        <v>193</v>
      </c>
      <c r="D10" s="17" t="s">
        <v>194</v>
      </c>
    </row>
    <row r="11" ht="42" customHeight="1" spans="1:4" x14ac:dyDescent="0.25">
      <c r="A11" s="16">
        <v>10</v>
      </c>
      <c r="B11" s="17" t="s">
        <v>195</v>
      </c>
      <c r="C11" s="17" t="s">
        <v>196</v>
      </c>
      <c r="D11" s="17" t="s">
        <v>197</v>
      </c>
    </row>
    <row r="12" ht="42" customHeight="1" spans="1:4" x14ac:dyDescent="0.25">
      <c r="A12" s="16">
        <v>11</v>
      </c>
      <c r="B12" s="17" t="s">
        <v>198</v>
      </c>
      <c r="C12" s="17" t="s">
        <v>199</v>
      </c>
      <c r="D12" s="17" t="s">
        <v>200</v>
      </c>
    </row>
    <row r="13" ht="42" customHeight="1" spans="1:4" x14ac:dyDescent="0.25">
      <c r="A13" s="16">
        <v>12</v>
      </c>
      <c r="B13" s="17" t="s">
        <v>201</v>
      </c>
      <c r="C13" s="17" t="s">
        <v>202</v>
      </c>
      <c r="D13" s="17" t="s">
        <v>203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Executive Summary</vt:lpstr>
      <vt:lpstr>Step 1 - Project Setup</vt:lpstr>
      <vt:lpstr>Step 2 - Sim Assumptions</vt:lpstr>
      <vt:lpstr>Step 3 - Scenario Compare</vt:lpstr>
      <vt:lpstr>Foundational Platform</vt:lpstr>
      <vt:lpstr>Open Questions &amp; Gaps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2026-09-09T06:18:21Z</dcterms:created>
  <dcterms:modified xsi:type="dcterms:W3CDTF">2026-09-09T06:18:21Z</dcterms:modified>
</cp:coreProperties>
</file>