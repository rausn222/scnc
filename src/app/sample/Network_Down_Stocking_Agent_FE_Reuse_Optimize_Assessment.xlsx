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Executive Summary" state="visible" r:id="rId5"/>
    <sheet sheetId="3" name="Step 1 - Project Setup" state="visible" r:id="rId6"/>
    <sheet sheetId="4" name="Step 2 - Sim Assumptions" state="visible" r:id="rId7"/>
    <sheet sheetId="5" name="Step 3 - Scenario Compare" state="visible" r:id="rId8"/>
    <sheet sheetId="6" name="Code Optimization" state="visible" r:id="rId9"/>
    <sheet sheetId="7" name="Open Questions &amp; Gaps" state="visible" r:id="rId10"/>
  </sheets>
  <calcPr calcId="171027"/>
</workbook>
</file>

<file path=xl/sharedStrings.xml><?xml version="1.0" encoding="utf-8"?>
<sst xmlns="http://schemas.openxmlformats.org/spreadsheetml/2006/main" count="263" uniqueCount="205">
  <si>
    <t>Network Down Stocking Agent Trial — Front-End Effort Assessment</t>
  </si>
  <si>
    <t>Recommended build strategy: reuse &amp; extend the existing prototype UI file-by-file, plus an explicit code-optimization pass — FE only, backend/data/scenario-engine assumed ready</t>
  </si>
  <si>
    <t>This is the recommended-approach view of the FE effort assessment: instead of costing a from-scratch rebuild with a blanket UI-reuse discount, each feature below is assessed against the ACTUAL prototype file that would be extended, with a reuse percentage grounded in that file's real fit (a table that just needs two columns removed reuses far more than a feature that doesn't exist yet). It also adds an explicit Code Optimization &amp; Refactor line item for the concrete maintainability issues the code review found — an oversized 1,540-line orchestration file, duplicate model files, ~2,450 lines of dead/unreachable code, and a dense table that will need a performance pass once it's wired to a second use case. Backend, source-system integration, and the scenario-calculation engine are still assumed ready, per the prior scoping — see the companion FE-only and full-scope documents for those numbers.</t>
  </si>
  <si>
    <t>Methodology</t>
  </si>
  <si>
    <t>• Each Step 1-3 row carries a 'Prototype UI reused' percentage, assessed per file: e.g. MoqBreakContent.tsx just needs two columns removed and two added (75% reuse), while the Supplier Inventory &amp; Feedstock tile doesn't exist yet (25% reuse — only shared primitives carry over). This replaces the earlier blanket 60% assumption with a per-feature judgment call, grounded in the same file-by-file code review used throughout this assessment.</t>
  </si>
  <si>
    <t>• The reuse percentage applies to UI effort only — client-side logic and FE-integration effort are not discounted by reuse, since even a well-fitting UI still needs its state/logic rewired to real data and real requested behaviour.</t>
  </si>
  <si>
    <t>• GenAI-assisted development is assumed to cut remaining (post-reuse) UI effort by ~50%, logic effort by ~35%, and FE-integration effort by ~20%.</t>
  </si>
  <si>
    <t>• The Code Optimization &amp; Refactor line item is net-new work, not discounted by reuse (there's nothing to reuse when splitting an oversized file or deleting dead code) — but it still gets the GenAI logic discount, since GenAI meaningfully accelerates mechanical refactors like component extraction and dead-code removal.</t>
  </si>
  <si>
    <t>• For reference: rebuilding Steps 1-3 from scratch with NO prototype reuse (the earlier full-rebuild framing) would run materially more — see the note under the Executive Summary table.</t>
  </si>
  <si>
    <t>How to read the numbers</t>
  </si>
  <si>
    <t>• Each feature row now shows two totals — No GenAI and With GenAI — both already assuming the recommended reuse-and-optimize approach. The GenAI column (green-shaded) is the realistic target if the team uses GenAI tooling.</t>
  </si>
  <si>
    <t>• The 'Prototype UI reused' column states the judgment call for that row in one line — read it alongside 'Current Prototype State' to see why a given feature reuses more or less.</t>
  </si>
  <si>
    <t>• 'FE Integration' days assume the endpoint exists, is documented, and returns data in a ready shape — see Open Questions for rows where that assumption is unconfirmed.</t>
  </si>
  <si>
    <t>• Rows with an amber-shaded 'Open Questions' cell contain something this estimate could not fully resolve without more detail — see the consolidated Open Questions sheet/section.</t>
  </si>
  <si>
    <t>Sheets in this workbook</t>
  </si>
  <si>
    <t>• Executive Summary — the No GenAI / With GenAI totals under the reuse-and-optimize approach, with a reference note on the from-scratch alternative.</t>
  </si>
  <si>
    <t>• Step 1/2/3 sheets — one row per requested feature/change, each with its own reuse percentage, FE-only effort, and open questions.</t>
  </si>
  <si>
    <t>• Code Optimization &amp; Cross-Cutting — the refactor/optimization work plus the remaining FE-only cross-cutting items (auth-aware UI, FE testing).</t>
  </si>
  <si>
    <t>• Open Questions &amp; Gaps — FE-relevant open questions, including sequencing questions raised by the optimization pass.</t>
  </si>
  <si>
    <t>Scenario</t>
  </si>
  <si>
    <t>UI (days)</t>
  </si>
  <si>
    <t>Logic (days)</t>
  </si>
  <si>
    <t>FE Integration (days)</t>
  </si>
  <si>
    <t>Total Effort (person-days)</t>
  </si>
  <si>
    <t>Suggested Calendar Timeline*</t>
  </si>
  <si>
    <t>No GenAI · Reuse prototype + Optimize</t>
  </si>
  <si>
    <t>~6-7 weeks (~1.5 months)</t>
  </si>
  <si>
    <t>With GenAI · Reuse prototype + Optimize (recommended)</t>
  </si>
  <si>
    <t>~4 weeks (~1 month)</t>
  </si>
  <si>
    <t>Reference — full from-scratch rebuild of Steps 1-3 with NO prototype reuse: ~59 person-days before GenAI (Code Optimization line item not applicable in that scenario, since nothing would be inherited from the prototype).</t>
  </si>
  <si>
    <t>*Calendar timeline assumes a small FE-only team (2 engineers + shared QA) working in parallel across steps, plus a short stabilization buffer.</t>
  </si>
  <si>
    <t>#</t>
  </si>
  <si>
    <t>Feature / Change</t>
  </si>
  <si>
    <t>Current Prototype State</t>
  </si>
  <si>
    <t>Requested Change</t>
  </si>
  <si>
    <t>Prototype UI Reused</t>
  </si>
  <si>
    <t>UI (d)</t>
  </si>
  <si>
    <t>Logic (d)</t>
  </si>
  <si>
    <t>FE Integration (d)</t>
  </si>
  <si>
    <t>TOTAL — No GenAI (d)</t>
  </si>
  <si>
    <t>TOTAL — GenAI (d)</t>
  </si>
  <si>
    <t>Open Questions / Functional Gaps</t>
  </si>
  <si>
    <t>S1.1</t>
  </si>
  <si>
    <t>Project name input + Save/Clear buttons</t>
  </si>
  <si>
    <t>ProjectNameField.tsx reuses the searchable-dropdown pattern and already supports creating a new name dynamically, so free-text entry may substantially already work. 'Create new project' / 'Clear' buttons live in SelectCbuStep.tsx.</t>
  </si>
  <si>
    <t>Ensure the user can type a project name freely. Rename 'Create new project' to 'Save'. Remove the 'Clear' button.</t>
  </si>
  <si>
    <t>85% — Cosmetic + button relabel on an already-working field — almost entirely reuse.</t>
  </si>
  <si>
    <t>Confirm in-app whether the existing creatable-dropdown pattern already satisfies 'user can type project name', or a plain text input is wanted instead.</t>
  </si>
  <si>
    <t>S1.2</t>
  </si>
  <si>
    <t>CBU selection (Old/New) — swap to ready master-data API</t>
  </si>
  <si>
    <t>CbuDropdownField.tsx is a well-built, reusable, portal-rendered multi-select already calling useCbuListQuery via React Query — currently pointed at a mock in-memory array.</t>
  </si>
  <si>
    <t>Point the existing hook at the real, ready CBU master-data endpoint; adjust response mapping and loading/error/empty states as needed. No UI rebuild required.</t>
  </si>
  <si>
    <t>90% — Already production-shaped and already query-driven — only the data source swaps.</t>
  </si>
  <si>
    <t>—</t>
  </si>
  <si>
    <t>S1.3</t>
  </si>
  <si>
    <t>Draft / project persistence — FE wiring</t>
  </si>
  <si>
    <t>DraftIdField.tsx renders the same dropdown pattern against a hardcoded DUMMY_DRAFTS array. The header 'Save Draft' button only sets a Redux flag today; nothing is sent to a backend.</t>
  </si>
  <si>
    <t>Wire the Draft ID dropdown and Save button to the ready drafts API (create, save, list, resume); add save-in-progress/error UI states.</t>
  </si>
  <si>
    <t>60% — Dropdown shell reuses; save/resume states and error handling are new.</t>
  </si>
  <si>
    <t>Need the ready API's exact drafts contract (single-owner autosave vs. versioned vs. shared) to know which UI states (e.g. version history) to build.</t>
  </si>
  <si>
    <t/>
  </si>
  <si>
    <t>SUBTOTAL</t>
  </si>
  <si>
    <t>S2.1</t>
  </si>
  <si>
    <t>PO Cancellation — table rework</t>
  </si>
  <si>
    <t>OpenPoAssumptionsContent.tsx: a 14-column PO-line table, cancel toggle, bulk include/cancel-all buttons, per-row checkboxes — currently sourced from hardcoded constants.</t>
  </si>
  <si>
    <t>Remove the supplier-inventory column and the 'Open PO can be cancelled' toggle. Tick boxes blank by default. Add a header 'Select all' checkbox. Add a scrollbar on overflow. Bind the table to the ready PO-lines endpoint.</t>
  </si>
  <si>
    <t>65% — Table shell, columns and checkbox pattern all reuse; toggle removal and select-all are net new interaction.</t>
  </si>
  <si>
    <t>S2.2</t>
  </si>
  <si>
    <t>New assumption: Supplier Inventory &amp; Feedstock</t>
  </si>
  <si>
    <t>Does not exist as a standalone assumption today.</t>
  </si>
  <si>
    <t>New tile, placed last in the Step 2 grid. Columns: Material type code &amp; description, Base UOM, Supplier code &amp; name, Supplier inventory (input), Feedstock (input). Auto-populate from the ready endpoint when data is available.</t>
  </si>
  <si>
    <t>25% — Net-new tile — only AssumptionTile/table primitives and the modal shell carry over.</t>
  </si>
  <si>
    <t>Need the ready API's exact response shape for supplier inventory / feedstock (per-material fields, null-when-unavailable convention) to build the auto-populate logic correctly.</t>
  </si>
  <si>
    <t>S2.3</t>
  </si>
  <si>
    <t>RMPM Connectivity — status display logic &amp; BOM table rework</t>
  </si>
  <si>
    <t>RmpmConnectivityContent.tsx has a PO-line table with editable delivery date, but per-line status is only a synthetic cycle today, not real. RmpmBomPendingContent.tsx is the separate BOM-pending popup.</t>
  </si>
  <si>
    <t>Interpret the ready BOM/PO/contract status field(s) into the requested labels: 'Contract issues' (replacing 'Lies with Procurement'), 'Contract not available', 'Contract available, with issue'. Rebuild BOM table columns: CBU, Plant, BOM PV, Material type code &amp; description, Supplier code &amp; name, Contract availability (clubbed across plants/CBUs for multi-RMPM), Connectivity date. Subtitle reflects the count of new CBUs.</t>
  </si>
  <si>
    <t>40% — Table shell reuses; the status logic and column set are substantially rebuilt, so reuse is below-average here.</t>
  </si>
  <si>
    <t>This assumes the ready API already returns a structured status (e.g. an enum) the FE can map to a label. If it instead returns raw BOM/PO/contract flags the FE must combine into that 5-state matrix itself, logic effort here is materially higher. | 'Contract coverage page covers the issues' — confirm whether that page already exists elsewhere in the app (a link target) or is new FE scope.</t>
  </si>
  <si>
    <t>S2.4</t>
  </si>
  <si>
    <t>RMPM Connectivity — date-entry modal rework</t>
  </si>
  <si>
    <t>RmpmBomPendingContent.tsx shows a BOM table plus a single manual date input.</t>
  </si>
  <si>
    <t>Add 'Copy for all' / 'Copy for same plant &amp; CBU' bulk-fill actions. Remove the BOM-of-material table/subtitle from the popup, leaving a single date input. Relabel 'Lies with Procurement' to 'Contract issues'. For the contract-available path: rename 'Lies with factory' to 'PO pending with factory', update the subtitle, remove the BOM-materials block and the single date input.</t>
  </si>
  <si>
    <t>55% — Popup shell and date input reuse; the copy-actions and section removal are new interaction.</t>
  </si>
  <si>
    <t>S2.5</t>
  </si>
  <si>
    <t>IUT Feasibility — Lead-time regroup &amp; Pre-IUT logic</t>
  </si>
  <si>
    <t>IutFeasibilityContent.tsx: 7-column lane table, editable 'Additional lead time' (default 3 days) and shelf-life threshold, expandable batch sub-tables.</t>
  </si>
  <si>
    <t>Rename to 'Pre-IUT lead time'; default 7 days for 2P/3P plants, 4 days for own-to-own (assumes the ready API exposes plant-relationship type). Shelf-life threshold defaults to 7 days. Add 'Total lead time' = Pre-IUT + transit + shelf-life (client-side sum). Reorder/group the three under one 'Lead time' section.</t>
  </si>
  <si>
    <t>65% — Lane table and inputs reuse; the regroup/reorder and conditional default are net-new layout logic.</t>
  </si>
  <si>
    <t>ShelfLifeContent.tsx already exists as a separate, currently-broken tile — decide whether Shelf Life stays its own tile or is fully folded into this section, since that determines which file absorbs the work.</t>
  </si>
  <si>
    <t>S2.6</t>
  </si>
  <si>
    <t>IUT Feasibility — Confidence score &amp; tooltip</t>
  </si>
  <si>
    <t>No historical-execution concept exists today.</t>
  </si>
  <si>
    <t>Display confidence score as 'number of times IUT is done over the last 12 months' (assumes the ready API returns this count directly). Add a tooltip on 'Possible' explaining how an address/lane issue is determined.</t>
  </si>
  <si>
    <t>70% — Small addition (one field + one tooltip) to an existing table.</t>
  </si>
  <si>
    <t>Confirm the ready API returns a precomputed 12-month count rather than raw execution history the FE would need to aggregate — the latter would add meaningful client-side logic.</t>
  </si>
  <si>
    <t>S2.7</t>
  </si>
  <si>
    <t>IUT Feasibility — Batch information as a table</t>
  </si>
  <si>
    <t>Batch data renders as expandable sub-cards with checkboxes today, not a table.</t>
  </si>
  <si>
    <t>Convert batch information into a table layout.</t>
  </si>
  <si>
    <t>40% — Data/state reuses; the card-to-table layout swap is a structural rebuild.</t>
  </si>
  <si>
    <t>S2.8</t>
  </si>
  <si>
    <t>MOQ Break — remove SOB/lead time, redefine confidence score</t>
  </si>
  <si>
    <t>MoqBreakContent.tsx: a 6-column supplier table including SOB and lead-time columns, per-supplier 'Can break MOQ' toggle.</t>
  </si>
  <si>
    <t>Remove the SOB and lead-time columns. Display confidence score as 'number of times MOQ has been broken in the last 12 months' (assumes the ready API returns this count).</t>
  </si>
  <si>
    <t>75% — Column removal + one relabeled field on an existing table — high reuse.</t>
  </si>
  <si>
    <t>Same assumption as the IUT confidence score above — confirm the ready API returns a precomputed count, not raw break-history the FE must aggregate.</t>
  </si>
  <si>
    <t>S2.9</t>
  </si>
  <si>
    <t>MOQ Break — new columns</t>
  </si>
  <si>
    <t>Same MoqBreakContent.tsx table.</t>
  </si>
  <si>
    <t>Add two columns: MOQ against material &amp; supplier, and minimum MOQ value observed in the last 12 months (both assumed ready-computed fields).</t>
  </si>
  <si>
    <t>75% — Two added columns on an existing table — high reuse.</t>
  </si>
  <si>
    <t>S2.10</t>
  </si>
  <si>
    <t>Customise Inputs</t>
  </si>
  <si>
    <t>MaterialScopeContent.tsx: a 5-column table grouped by Old CBU with a per-material 'Considered for downstocking' checkbox. (A dead, superseded inline MaterialScopeContentOld also still sits unused inside SimulationAssumptionsStep.tsx.)</t>
  </si>
  <si>
    <t>Add a supplier-feedstock row item below supplier inventory. Add a UOM column against every RMPM header. Source notes flag an explicit open point: should CBU be included as a dimension here.</t>
  </si>
  <si>
    <t>70% — Row + column additions to an existing, working table.</t>
  </si>
  <si>
    <t>Explicitly marked as an open point in the review notes: inclusion of CBU in Customise Inputs is undecided. No effort included for this until scoped.</t>
  </si>
  <si>
    <t>S3.1</t>
  </si>
  <si>
    <t>Rename "Procurement" → "Procure"</t>
  </si>
  <si>
    <t>The SCENARIOS constant hardcodes 'Procurement' (id 'moq'), feeding compound labels like 'IUT + Procurement'. Used as display text across ScenarioComparisonStep.tsx and its detail views.</t>
  </si>
  <si>
    <t>Change the standalone scenario's display name to 'Procure' everywhere it appears — a pure label change, since the underlying id and API contract are unaffected.</t>
  </si>
  <si>
    <t>95% — Pure string change — near-total reuse.</t>
  </si>
  <si>
    <t>Confirm whether every 'Procurement' occurrence becomes 'Procure' (including compound labels and table headers), or only the standalone scenario name.</t>
  </si>
  <si>
    <t>S3.2</t>
  </si>
  <si>
    <t>IUT + Procurement — "Total cost" → "IUT cost"</t>
  </si>
  <si>
    <t>ScenarioDetailTable.tsx renders a 'Total cost' stat tile per scenario. No FE-side calculation exists — figures are bound from the SCENARIOS data source today.</t>
  </si>
  <si>
    <t>Relabel the tile 'IUT cost' and bind it to the ready API's IUT-only cost field (assumed to already be a separate figure from blended/procurement cost).</t>
  </si>
  <si>
    <t>70% — Same stat-tile component, relabeled and rebound to a different field.</t>
  </si>
  <si>
    <t>Confirm the ready scenario API returns a distinct IUT-only cost field. If it only returns a blended total, the FE cannot correctly show 'IUT cost' without the API changing — this would fall back to the full-scope estimate's calculation-engine work.</t>
  </si>
  <si>
    <t>S3.3</t>
  </si>
  <si>
    <t>IUT + Procurement — Procurement table column removal</t>
  </si>
  <si>
    <t>ScenarioDetailTable.tsx's Procurement section includes price/unit and total procurement cost columns.</t>
  </si>
  <si>
    <t>Remove the price/unit and total procurement cost columns from display.</t>
  </si>
  <si>
    <t>90% — Deleting two columns from an existing table.</t>
  </si>
  <si>
    <t>S3.4</t>
  </si>
  <si>
    <t>IUT + Procurement — Lane availability</t>
  </si>
  <si>
    <t>No lane-capacity/availability concept exists today. IutFeasibilityContent's Possible/Not-possible toggle is route feasibility, not point-in-time capacity.</t>
  </si>
  <si>
    <t>Add IUT lane availability information to the scenario detail, bound to the ready lane-availability endpoint.</t>
  </si>
  <si>
    <t>20% — Net-new capability inside the detail view — only the detail-drawer shell and primitives carry over.</t>
  </si>
  <si>
    <t>'Lane availability' isn't defined in the notes — real-time capacity, a binary flag, or a scheduled window each imply a different UI. Need the ready API's exact response shape before building this.</t>
  </si>
  <si>
    <t>S3.5</t>
  </si>
  <si>
    <t>Custom scenario — summary &amp; component breakdown by plant</t>
  </si>
  <si>
    <t>step4/TransposedComponentBreakdownTable.tsx (642 lines, already built) renders this for the 5 predefined scenarios; CustomScenarioDetailView.tsx doesn't yet include it. A near-complete alternate build exists in the dead, unreachable CustomScenarioDetailPage.tsx (1,454 lines).</t>
  </si>
  <si>
    <t>Wire the existing breakdown table and a new summary section into the Custom scenario detail view, bound to the ready custom-scenario breakdown endpoint.</t>
  </si>
  <si>
    <t>80% — The heavy table component already exists and is proven for the predefined-scenario case — this is largely a wiring exercise, not a rebuild.</t>
  </si>
  <si>
    <t>A near-complete alternate implementation already exists in the dead CustomScenarioDetailPage.tsx — reviving/adapting it could cut this row's effort further.</t>
  </si>
  <si>
    <t>Workstream</t>
  </si>
  <si>
    <t>Why it's needed</t>
  </si>
  <si>
    <t>Scope</t>
  </si>
  <si>
    <t>F.1</t>
  </si>
  <si>
    <t>Code Optimization &amp; Refactor</t>
  </si>
  <si>
    <t>The code review found concrete maintainability debt: ScenarioComparisonStep.tsx is ~1,540 lines (the largest file in the feature); scenarioDetailModel.ts and scenarioDetailModel.tsx are near-duplicate files with only one actually imported; CustomScenarioDetailPage.tsx (1,454 lines) and the scenarioMindMap/ directory (~1,000 lines) are confirmed dead/unreachable code; ShelfLifeContent.tsx imports a data export that no longer exists and is never rendered; SimulationAssumptionsStep.tsx (600+ lines) contains an orphaned inline MaterialScopeContentOld component.</t>
  </si>
  <si>
    <t>Split ScenarioComparisonStep.tsx into smaller, focused components (comparison table, accept-flow modal, custom-scenario form, detail-drawer orchestration); reconcile the duplicate scenarioDetailModel.ts/.tsx pair into one source of truth; decide and execute on the dead code (delete, revive, or harvest CustomScenarioDetailPage.tsx and scenarioMindMap/*, remove the orphaned MaterialScopeContentOld block, fix or remove the broken ShelfLifeContent.tsx); run a performance pass on TransposedComponentBreakdownTable.tsx (memoization, and virtualization if needed) now that it's being wired into a second use case (S3.5); and consolidate the reworked Step 2 tables onto the existing shared table/form primitives (ScenarioDetailPrimitives.tsx) instead of each rolling its own markup.</t>
  </si>
  <si>
    <t>Sequencing question: should this run before the Step 1-3 feature changes (cleaner base to build on, but delays visible feature progress) or interleaved with them (faster visible progress, but risks new feature work landing in files about to be split/cleaned)?</t>
  </si>
  <si>
    <t>F.2</t>
  </si>
  <si>
    <t>Auth-aware UI states</t>
  </si>
  <si>
    <t>Not assessed in the original code review — no permission-gated UI or auth-error handling was observed in this feature.</t>
  </si>
  <si>
    <t>FE-only slice of auth: permission-gated rendering (e.g. who can Save/Accept a scenario), auth-token wiring into the ready API calls, and 401/expired-session UI handling. Backend auth/permissions design and infra are excluded — assumed ready.</t>
  </si>
  <si>
    <t>F.3</t>
  </si>
  <si>
    <t>FE testing (component / E2E)</t>
  </si>
  <si>
    <t>No automated test coverage was observed for this feature during the review.</t>
  </si>
  <si>
    <t>FE-only slice: component tests for the reworked tables/forms, and end-to-end flows across the 3 steps once bound to real (ready) APIs. Backend/API contract test-suite ownership is excluded — assumed covered by the API-owning team.</t>
  </si>
  <si>
    <t>Area</t>
  </si>
  <si>
    <t>Open Question / Functional Gap</t>
  </si>
  <si>
    <t>Why it matters for effort/timeline</t>
  </si>
  <si>
    <t>Sequencing</t>
  </si>
  <si>
    <t>Should the Code Optimization &amp; Refactor pass run before the Step 1-3 feature changes, or interleaved with them?</t>
  </si>
  <si>
    <t>Running it first gives a cleaner base (especially for the ScenarioComparisonStep.tsx split, which S3.1-S3.4 all touch) but delays visible feature progress; interleaving risks feature work landing in files that are about to move.</t>
  </si>
  <si>
    <t>Confidence scores (IUT &amp; MOQ)</t>
  </si>
  <si>
    <t>Does the ready API return a precomputed 12-month count for 'number of times IUT is done' and 'number of times MOQ has been broken', or raw history the FE must aggregate itself?</t>
  </si>
  <si>
    <t>This document's Logic estimates for S2.6 and S2.8 assume a precomputed count. If the FE must aggregate raw history client-side, both rows grow.</t>
  </si>
  <si>
    <t>Scenario cost (Step 3)</t>
  </si>
  <si>
    <t>Does the ready scenario API return a distinct 'IUT cost' field separate from blended/total cost, for the 'Total cost' → 'IUT cost' relabel (S3.2)?</t>
  </si>
  <si>
    <t>If only a blended total is available, the FE cannot correctly display 'IUT cost' without a backend change — this item would fall back to the full-scope (calculation-engine) estimate.</t>
  </si>
  <si>
    <t>RMPM connectivity status</t>
  </si>
  <si>
    <t>Does the ready API return a structured status enum the FE can map directly to 'Contract issues' / 'Contract not available' / 'Contract available, with issue', or raw BOM/PO/contract flags the FE must combine itself?</t>
  </si>
  <si>
    <t>Directly affects S2.3's Logic estimate and its below-average reuse percentage — combining raw flags client-side is meaningfully more FE work than mapping a ready enum.</t>
  </si>
  <si>
    <t>Lane availability (Step 3)</t>
  </si>
  <si>
    <t>What does 'IUT lane availability' mean operationally, and what shape does the ready API return — real-time capacity, a binary flag, or a scheduled window?</t>
  </si>
  <si>
    <t>Changes both the UI shape and the FE-integration effort in S3.4, which already has this assessment's lowest reuse percentage.</t>
  </si>
  <si>
    <t>Customise Inputs (Step 2)</t>
  </si>
  <si>
    <t>Should CBU be included as a dimension/filter in Customise Inputs?</t>
  </si>
  <si>
    <t>Explicitly flagged as unresolved in the source review notes; no effort included pending scope.</t>
  </si>
  <si>
    <t>RMPM connectivity</t>
  </si>
  <si>
    <t>Does the 'Contract coverage page' referenced in the notes already exist elsewhere in the app (a link target), or is it new FE scope?</t>
  </si>
  <si>
    <t>If new, adds a full page's worth of FE effort not currently counted anywhere in this document.</t>
  </si>
  <si>
    <t>IUT Feasibility / Shelf life</t>
  </si>
  <si>
    <t>Should Shelf Life Threshold remain its own tile (ShelfLifeContent.tsx exists but is disconnected/broken), or fully merge into the IUT Feasibility 'Lead time' section?</t>
  </si>
  <si>
    <t>Determines which file absorbs the work, and whether the existing broken component is fixed, replaced, or deleted as part of the optimization pass.</t>
  </si>
  <si>
    <t>Custom scenario detail</t>
  </si>
  <si>
    <t>A 1,454-line alternate build of 'summary + component breakdown' (CustomScenarioDetailPage.tsx) is fully coded but unreachable. Revive/adapt it, or build fresh against CustomScenarioDetailView.tsx as scoped in S3.5?</t>
  </si>
  <si>
    <t>Reviving it could cut S3.5's effort further and change the Code Optimization item's dead-code disposition decision.</t>
  </si>
  <si>
    <t>Naming</t>
  </si>
  <si>
    <t>When 'Procurement' becomes 'Procure', does that apply only to the standalone scenario name, or also to compound labels ('IUT + Procurement'), table headers, and downstream/report labels?</t>
  </si>
  <si>
    <t>Small effort either way, but ambiguous scope risks missed spots without a single source-of-truth string list.</t>
  </si>
  <si>
    <t>Supplier inventory &amp; feedstock</t>
  </si>
  <si>
    <t>What is the ready API's exact response contract for supplier inventory and feedstock — per-material fields, and the convention for 'not available' (null vs. omitted)?</t>
  </si>
  <si>
    <t>Determines how much auto-populate/conditional logic S2.2 actually needs.</t>
  </si>
  <si>
    <t>Drafts / projects</t>
  </si>
  <si>
    <t>What is the ready drafts API's data contract — single-owner autosave, versioned drafts, or shared multi-user projects?</t>
  </si>
  <si>
    <t>S1.3's estimate assumes a simple single-owner draft; a versioned/multi-user contract would need additional UI (e.g. version history) not currently scoped.</t>
  </si>
  <si>
    <t>Code health</t>
  </si>
  <si>
    <t>Should the confirmed dead FE code (CustomScenarioDetailPage.tsx, scenarioMindMap/*, duplicate scenarioDetailModel files, broken ShelfLifeContent.tsx) be deleted, revived, or left as-is?</t>
  </si>
  <si>
    <t>Directly determines the scope (and possibly the size) of the Code Optimization &amp; Refactor line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</si>
</sst>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1F3864"/>
      <sz val="16"/>
    </font>
    <font>
      <sz val="10"/>
    </font>
    <font>
      <b/>
      <color rgb="FF1F3864"/>
      <sz val="12"/>
    </font>
    <font>
      <b/>
      <color rgb="FFFFFFFF"/>
      <sz val="10"/>
    </font>
    <font>
      <b/>
      <sz val="10"/>
    </font>
    <font>
      <i/>
      <color rgb="FF666666"/>
      <sz val="9"/>
    </font>
    <font>
      <b/>
      <sz val="9.5"/>
    </font>
    <font>
      <sz val="9.5"/>
    </font>
  </fonts>
  <fills count="7">
    <fill>
      <patternFill patternType="none"/>
    </fill>
    <fill>
      <patternFill patternType="gray125"/>
    </fill>
    <fill>
      <patternFill patternType="solid">
        <fgColor rgb="FF1F3864"/>
      </patternFill>
    </fill>
    <fill>
      <patternFill patternType="solid">
        <fgColor rgb="FFE2EFDA"/>
      </patternFill>
    </fill>
    <fill>
      <patternFill patternType="solid">
        <fgColor rgb="FFF2F2F2"/>
      </patternFill>
    </fill>
    <fill>
      <patternFill patternType="solid">
        <fgColor rgb="FFFFF2CC"/>
      </patternFill>
    </fill>
    <fill>
      <patternFill patternType="solid">
        <fgColor rgb="FFDCE6F1"/>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0">
    <xf numFmtId="0" fontId="0" fillId="0" borderId="0" xfId="0"/>
    <xf numFmtId="0" fontId="1" fillId="0" borderId="0" xfId="0" applyFont="1"/>
    <xf numFmtId="0" fontId="2" fillId="0" borderId="0" xfId="0" applyFont="1" applyAlignment="1">
      <alignment vertical="top" wrapText="1"/>
    </xf>
    <xf numFmtId="0" fontId="3" fillId="0" borderId="0" xfId="0" applyFont="1"/>
    <xf numFmtId="0" fontId="4" fillId="2" borderId="1" xfId="0" applyFont="1" applyFill="1" applyBorder="1" applyAlignment="1">
      <alignment horizontal="center" vertical="center" wrapText="1"/>
    </xf>
    <xf numFmtId="0" fontId="5" fillId="0" borderId="1" xfId="0" applyFont="1" applyBorder="1" applyAlignment="1">
      <alignment horizontal="left" vertical="center"/>
    </xf>
    <xf numFmtId="0" fontId="2" fillId="0" borderId="1" xfId="0" applyFont="1" applyBorder="1" applyAlignment="1">
      <alignment horizontal="center" vertical="center"/>
    </xf>
    <xf numFmtId="0" fontId="5" fillId="3" borderId="1" xfId="0" applyFont="1" applyFill="1" applyBorder="1" applyAlignment="1">
      <alignment horizontal="left" vertical="center"/>
    </xf>
    <xf numFmtId="0" fontId="2" fillId="3" borderId="1" xfId="0" applyFont="1" applyFill="1" applyBorder="1" applyAlignment="1">
      <alignment horizontal="center" vertical="center"/>
    </xf>
    <xf numFmtId="0" fontId="6" fillId="0" borderId="0" xfId="0" applyFont="1"/>
    <xf numFmtId="0" fontId="7" fillId="0" borderId="1" xfId="0" applyFont="1" applyBorder="1" applyAlignment="1">
      <alignment horizontal="center" vertical="top" wrapText="1"/>
    </xf>
    <xf numFmtId="0" fontId="8" fillId="0" borderId="1" xfId="0" applyFont="1" applyBorder="1" applyAlignment="1">
      <alignment horizontal="left" vertical="top" wrapText="1"/>
    </xf>
    <xf numFmtId="0" fontId="8" fillId="0" borderId="1" xfId="0" applyFont="1" applyBorder="1" applyAlignment="1">
      <alignment horizontal="center" vertical="top" wrapText="1"/>
    </xf>
    <xf numFmtId="0" fontId="8" fillId="4" borderId="1" xfId="0" applyFont="1" applyFill="1" applyBorder="1" applyAlignment="1">
      <alignment horizontal="center" vertical="top" wrapText="1"/>
    </xf>
    <xf numFmtId="0" fontId="8" fillId="3" borderId="1" xfId="0" applyFont="1" applyFill="1" applyBorder="1" applyAlignment="1">
      <alignment horizontal="center" vertical="top" wrapText="1"/>
    </xf>
    <xf numFmtId="0" fontId="8" fillId="5" borderId="1" xfId="0" applyFont="1" applyFill="1" applyBorder="1" applyAlignment="1">
      <alignment horizontal="left" vertical="top" wrapText="1"/>
    </xf>
    <xf numFmtId="0" fontId="5" fillId="6" borderId="1" xfId="0" applyFont="1" applyFill="1" applyBorder="1" applyAlignment="1">
      <alignment horizontal="center" vertical="center"/>
    </xf>
    <xf numFmtId="0" fontId="5" fillId="6" borderId="1" xfId="0" applyFont="1" applyFill="1" applyBorder="1" applyAlignment="1">
      <alignment horizontal="left"/>
    </xf>
    <xf numFmtId="0" fontId="5" fillId="0" borderId="1" xfId="0" applyFont="1" applyBorder="1" applyAlignment="1">
      <alignment horizontal="center"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24"/>
  <sheetFormatPr defaultRowHeight="15" outlineLevelRow="0" outlineLevelCol="0" x14ac:dyDescent="55"/>
  <cols>
    <col min="1" max="1" width="4" customWidth="1"/>
    <col min="2" max="2" width="100" customWidth="1"/>
  </cols>
  <sheetData>
    <row r="1" spans="2:2" x14ac:dyDescent="0.25">
      <c r="B1" s="1" t="s">
        <v>0</v>
      </c>
    </row>
    <row r="3" ht="30" customHeight="1" spans="2:2" x14ac:dyDescent="0.25">
      <c r="B3" s="2" t="s">
        <v>1</v>
      </c>
    </row>
    <row r="5" ht="135" customHeight="1" spans="2:2" x14ac:dyDescent="0.25">
      <c r="B5" s="2" t="s">
        <v>2</v>
      </c>
    </row>
    <row r="7" spans="2:2" x14ac:dyDescent="0.25">
      <c r="B7" s="3" t="s">
        <v>3</v>
      </c>
    </row>
    <row r="8" ht="60" customHeight="1" spans="2:2" x14ac:dyDescent="0.25">
      <c r="B8" s="2" t="s">
        <v>4</v>
      </c>
    </row>
    <row r="9" ht="45" customHeight="1" spans="2:2" x14ac:dyDescent="0.25">
      <c r="B9" s="2" t="s">
        <v>5</v>
      </c>
    </row>
    <row r="10" ht="30" customHeight="1" spans="2:2" x14ac:dyDescent="0.25">
      <c r="B10" s="2" t="s">
        <v>6</v>
      </c>
    </row>
    <row r="11" ht="45" customHeight="1" spans="2:2" x14ac:dyDescent="0.25">
      <c r="B11" s="2" t="s">
        <v>7</v>
      </c>
    </row>
    <row r="12" ht="30" customHeight="1" spans="2:2" x14ac:dyDescent="0.25">
      <c r="B12" s="2" t="s">
        <v>8</v>
      </c>
    </row>
    <row r="14" spans="2:2" x14ac:dyDescent="0.25">
      <c r="B14" s="3" t="s">
        <v>9</v>
      </c>
    </row>
    <row r="15" ht="45" customHeight="1" spans="2:2" x14ac:dyDescent="0.25">
      <c r="B15" s="2" t="s">
        <v>10</v>
      </c>
    </row>
    <row r="16" ht="30" customHeight="1" spans="2:2" x14ac:dyDescent="0.25">
      <c r="B16" s="2" t="s">
        <v>11</v>
      </c>
    </row>
    <row r="17" ht="30" customHeight="1" spans="2:2" x14ac:dyDescent="0.25">
      <c r="B17" s="2" t="s">
        <v>12</v>
      </c>
    </row>
    <row r="18" ht="30" customHeight="1" spans="2:2" x14ac:dyDescent="0.25">
      <c r="B18" s="2" t="s">
        <v>13</v>
      </c>
    </row>
    <row r="20" spans="2:2" x14ac:dyDescent="0.25">
      <c r="B20" s="3" t="s">
        <v>14</v>
      </c>
    </row>
    <row r="21" ht="30" customHeight="1" spans="2:2" x14ac:dyDescent="0.25">
      <c r="B21" s="2" t="s">
        <v>15</v>
      </c>
    </row>
    <row r="22" ht="30" customHeight="1" spans="2:2" x14ac:dyDescent="0.25">
      <c r="B22" s="2" t="s">
        <v>16</v>
      </c>
    </row>
    <row r="23" ht="30" customHeight="1" spans="2:2" x14ac:dyDescent="0.25">
      <c r="B23" s="2" t="s">
        <v>17</v>
      </c>
    </row>
    <row r="24" ht="30" customHeight="1" spans="2:2" x14ac:dyDescent="0.25">
      <c r="B24" s="2" t="s">
        <v>18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cols>
    <col min="1" max="1" width="46" customWidth="1"/>
    <col min="2" max="2" width="12" customWidth="1"/>
    <col min="3" max="3" width="13" customWidth="1"/>
    <col min="4" max="5" width="16" customWidth="1"/>
    <col min="6" max="6" width="20" customWidth="1"/>
  </cols>
  <sheetData>
    <row r="1" ht="32" customHeight="1" spans="1:6" x14ac:dyDescent="0.25">
      <c r="A1" s="4" t="s">
        <v>19</v>
      </c>
      <c r="B1" s="4" t="s">
        <v>20</v>
      </c>
      <c r="C1" s="4" t="s">
        <v>21</v>
      </c>
      <c r="D1" s="4" t="s">
        <v>22</v>
      </c>
      <c r="E1" s="4" t="s">
        <v>23</v>
      </c>
      <c r="F1" s="4" t="s">
        <v>24</v>
      </c>
    </row>
    <row r="2" spans="1:6" x14ac:dyDescent="0.25">
      <c r="A2" s="5" t="s">
        <v>25</v>
      </c>
      <c r="B2" s="6">
        <v>16.5</v>
      </c>
      <c r="C2" s="6">
        <v>25.5</v>
      </c>
      <c r="D2" s="6">
        <v>13.5</v>
      </c>
      <c r="E2" s="6">
        <v>55.5</v>
      </c>
      <c r="F2" s="6" t="s">
        <v>26</v>
      </c>
    </row>
    <row r="3" spans="1:6" x14ac:dyDescent="0.25">
      <c r="A3" s="7" t="s">
        <v>27</v>
      </c>
      <c r="B3" s="8">
        <v>8.2</v>
      </c>
      <c r="C3" s="8">
        <v>16.6</v>
      </c>
      <c r="D3" s="8">
        <v>10.8</v>
      </c>
      <c r="E3" s="8">
        <v>35.6</v>
      </c>
      <c r="F3" s="8" t="s">
        <v>28</v>
      </c>
    </row>
    <row r="5" spans="1:6" x14ac:dyDescent="0.25">
      <c r="A5" s="9" t="s">
        <v>29</v>
      </c>
      <c r="B5" s="9"/>
      <c r="C5" s="9"/>
      <c r="D5" s="9"/>
      <c r="E5" s="9"/>
      <c r="F5" s="9"/>
    </row>
    <row r="6" spans="1:6" x14ac:dyDescent="0.25">
      <c r="A6" s="9" t="s">
        <v>30</v>
      </c>
      <c r="B6" s="9"/>
      <c r="C6" s="9"/>
      <c r="D6" s="9"/>
      <c r="E6" s="9"/>
      <c r="F6" s="9"/>
    </row>
  </sheetData>
  <mergeCells count="2">
    <mergeCell ref="A5:F5"/>
    <mergeCell ref="A6:F6"/>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workbookViewId="0">
      <pane xSplit="2" ySplit="1" topLeftCell="C2" activePane="bottomRight" state="frozen"/>
      <selection pane="bottomRight"/>
    </sheetView>
  </sheetViews>
  <sheetFormatPr defaultRowHeight="15" outlineLevelRow="0" outlineLevelCol="0" x14ac:dyDescent="55"/>
  <cols>
    <col min="1" max="1" width="6" customWidth="1"/>
    <col min="2" max="2" width="28" customWidth="1"/>
    <col min="3" max="3" width="34" customWidth="1"/>
    <col min="4" max="4" width="38" customWidth="1"/>
    <col min="5" max="5" width="20" customWidth="1"/>
    <col min="6" max="7" width="8" customWidth="1"/>
    <col min="8" max="8" width="10" customWidth="1"/>
    <col min="9" max="10" width="12" customWidth="1"/>
    <col min="11" max="11" width="44" customWidth="1"/>
  </cols>
  <sheetData>
    <row r="1" ht="32" customHeight="1" spans="1:11" x14ac:dyDescent="0.25">
      <c r="A1" s="4" t="s">
        <v>31</v>
      </c>
      <c r="B1" s="4" t="s">
        <v>32</v>
      </c>
      <c r="C1" s="4" t="s">
        <v>33</v>
      </c>
      <c r="D1" s="4" t="s">
        <v>34</v>
      </c>
      <c r="E1" s="4" t="s">
        <v>35</v>
      </c>
      <c r="F1" s="4" t="s">
        <v>36</v>
      </c>
      <c r="G1" s="4" t="s">
        <v>37</v>
      </c>
      <c r="H1" s="4" t="s">
        <v>38</v>
      </c>
      <c r="I1" s="4" t="s">
        <v>39</v>
      </c>
      <c r="J1" s="4" t="s">
        <v>40</v>
      </c>
      <c r="K1" s="4" t="s">
        <v>41</v>
      </c>
    </row>
    <row r="2" ht="48" customHeight="1" spans="1:11" x14ac:dyDescent="0.25">
      <c r="A2" s="10" t="s">
        <v>42</v>
      </c>
      <c r="B2" s="11" t="s">
        <v>43</v>
      </c>
      <c r="C2" s="11" t="s">
        <v>44</v>
      </c>
      <c r="D2" s="11" t="s">
        <v>45</v>
      </c>
      <c r="E2" s="12" t="s">
        <v>46</v>
      </c>
      <c r="F2" s="12">
        <v>0.2</v>
      </c>
      <c r="G2" s="12">
        <v>0.5</v>
      </c>
      <c r="H2" s="12">
        <v>0.5</v>
      </c>
      <c r="I2" s="13">
        <v>1.2</v>
      </c>
      <c r="J2" s="14">
        <v>0.8</v>
      </c>
      <c r="K2" s="15" t="s">
        <v>47</v>
      </c>
    </row>
    <row r="3" ht="48" customHeight="1" spans="1:11" x14ac:dyDescent="0.25">
      <c r="A3" s="10" t="s">
        <v>48</v>
      </c>
      <c r="B3" s="11" t="s">
        <v>49</v>
      </c>
      <c r="C3" s="11" t="s">
        <v>50</v>
      </c>
      <c r="D3" s="11" t="s">
        <v>51</v>
      </c>
      <c r="E3" s="12" t="s">
        <v>52</v>
      </c>
      <c r="F3" s="12">
        <v>0.1</v>
      </c>
      <c r="G3" s="12">
        <v>0.5</v>
      </c>
      <c r="H3" s="12">
        <v>1</v>
      </c>
      <c r="I3" s="13">
        <v>1.6</v>
      </c>
      <c r="J3" s="14">
        <v>1.2</v>
      </c>
      <c r="K3" s="11" t="s">
        <v>53</v>
      </c>
    </row>
    <row r="4" ht="48" customHeight="1" spans="1:11" x14ac:dyDescent="0.25">
      <c r="A4" s="10" t="s">
        <v>54</v>
      </c>
      <c r="B4" s="11" t="s">
        <v>55</v>
      </c>
      <c r="C4" s="11" t="s">
        <v>56</v>
      </c>
      <c r="D4" s="11" t="s">
        <v>57</v>
      </c>
      <c r="E4" s="12" t="s">
        <v>58</v>
      </c>
      <c r="F4" s="12">
        <v>0.8</v>
      </c>
      <c r="G4" s="12">
        <v>1.5</v>
      </c>
      <c r="H4" s="12">
        <v>1.5</v>
      </c>
      <c r="I4" s="13">
        <v>3.8</v>
      </c>
      <c r="J4" s="14">
        <v>2.6</v>
      </c>
      <c r="K4" s="15" t="s">
        <v>59</v>
      </c>
    </row>
    <row r="5" spans="1:11" x14ac:dyDescent="0.25">
      <c r="A5" s="16" t="s">
        <v>60</v>
      </c>
      <c r="B5" s="17" t="s">
        <v>61</v>
      </c>
      <c r="C5" s="16" t="s">
        <v>60</v>
      </c>
      <c r="D5" s="16" t="s">
        <v>60</v>
      </c>
      <c r="E5" s="16" t="s">
        <v>60</v>
      </c>
      <c r="F5" s="16">
        <f>SUM(F2:F4)</f>
      </c>
      <c r="G5" s="16">
        <f>SUM(G2:G4)</f>
      </c>
      <c r="H5" s="16">
        <f>SUM(H2:H4)</f>
      </c>
      <c r="I5" s="16">
        <f>SUM(I2:I4)</f>
      </c>
      <c r="J5" s="16">
        <f>SUM(J2:J4)</f>
      </c>
      <c r="K5" s="16" t="s">
        <v>60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pane xSplit="2" ySplit="1" topLeftCell="C2" activePane="bottomRight" state="frozen"/>
      <selection pane="bottomRight"/>
    </sheetView>
  </sheetViews>
  <sheetFormatPr defaultRowHeight="15" outlineLevelRow="0" outlineLevelCol="0" x14ac:dyDescent="55"/>
  <cols>
    <col min="1" max="1" width="6" customWidth="1"/>
    <col min="2" max="2" width="28" customWidth="1"/>
    <col min="3" max="3" width="34" customWidth="1"/>
    <col min="4" max="4" width="38" customWidth="1"/>
    <col min="5" max="5" width="20" customWidth="1"/>
    <col min="6" max="7" width="8" customWidth="1"/>
    <col min="8" max="8" width="10" customWidth="1"/>
    <col min="9" max="10" width="12" customWidth="1"/>
    <col min="11" max="11" width="44" customWidth="1"/>
  </cols>
  <sheetData>
    <row r="1" ht="32" customHeight="1" spans="1:11" x14ac:dyDescent="0.25">
      <c r="A1" s="4" t="s">
        <v>31</v>
      </c>
      <c r="B1" s="4" t="s">
        <v>32</v>
      </c>
      <c r="C1" s="4" t="s">
        <v>33</v>
      </c>
      <c r="D1" s="4" t="s">
        <v>34</v>
      </c>
      <c r="E1" s="4" t="s">
        <v>35</v>
      </c>
      <c r="F1" s="4" t="s">
        <v>36</v>
      </c>
      <c r="G1" s="4" t="s">
        <v>37</v>
      </c>
      <c r="H1" s="4" t="s">
        <v>38</v>
      </c>
      <c r="I1" s="4" t="s">
        <v>39</v>
      </c>
      <c r="J1" s="4" t="s">
        <v>40</v>
      </c>
      <c r="K1" s="4" t="s">
        <v>41</v>
      </c>
    </row>
    <row r="2" ht="48" customHeight="1" spans="1:11" x14ac:dyDescent="0.25">
      <c r="A2" s="10" t="s">
        <v>62</v>
      </c>
      <c r="B2" s="11" t="s">
        <v>63</v>
      </c>
      <c r="C2" s="11" t="s">
        <v>64</v>
      </c>
      <c r="D2" s="11" t="s">
        <v>65</v>
      </c>
      <c r="E2" s="12" t="s">
        <v>66</v>
      </c>
      <c r="F2" s="12">
        <v>0.7</v>
      </c>
      <c r="G2" s="12">
        <v>1</v>
      </c>
      <c r="H2" s="12">
        <v>1</v>
      </c>
      <c r="I2" s="13">
        <v>2.7</v>
      </c>
      <c r="J2" s="14">
        <v>1.9</v>
      </c>
      <c r="K2" s="11" t="s">
        <v>53</v>
      </c>
    </row>
    <row r="3" ht="48" customHeight="1" spans="1:11" x14ac:dyDescent="0.25">
      <c r="A3" s="10" t="s">
        <v>67</v>
      </c>
      <c r="B3" s="11" t="s">
        <v>68</v>
      </c>
      <c r="C3" s="11" t="s">
        <v>69</v>
      </c>
      <c r="D3" s="11" t="s">
        <v>70</v>
      </c>
      <c r="E3" s="12" t="s">
        <v>71</v>
      </c>
      <c r="F3" s="12">
        <v>2.3</v>
      </c>
      <c r="G3" s="12">
        <v>1.5</v>
      </c>
      <c r="H3" s="12">
        <v>1.5</v>
      </c>
      <c r="I3" s="13">
        <v>5.3</v>
      </c>
      <c r="J3" s="14">
        <v>3.4</v>
      </c>
      <c r="K3" s="15" t="s">
        <v>72</v>
      </c>
    </row>
    <row r="4" ht="48" customHeight="1" spans="1:11" x14ac:dyDescent="0.25">
      <c r="A4" s="10" t="s">
        <v>73</v>
      </c>
      <c r="B4" s="11" t="s">
        <v>74</v>
      </c>
      <c r="C4" s="11" t="s">
        <v>75</v>
      </c>
      <c r="D4" s="11" t="s">
        <v>76</v>
      </c>
      <c r="E4" s="12" t="s">
        <v>77</v>
      </c>
      <c r="F4" s="12">
        <v>1.8</v>
      </c>
      <c r="G4" s="12">
        <v>2.5</v>
      </c>
      <c r="H4" s="12">
        <v>1</v>
      </c>
      <c r="I4" s="13">
        <v>5.3</v>
      </c>
      <c r="J4" s="14">
        <v>3.3</v>
      </c>
      <c r="K4" s="15" t="s">
        <v>78</v>
      </c>
    </row>
    <row r="5" ht="48" customHeight="1" spans="1:11" x14ac:dyDescent="0.25">
      <c r="A5" s="10" t="s">
        <v>79</v>
      </c>
      <c r="B5" s="11" t="s">
        <v>80</v>
      </c>
      <c r="C5" s="11" t="s">
        <v>81</v>
      </c>
      <c r="D5" s="11" t="s">
        <v>82</v>
      </c>
      <c r="E5" s="12" t="s">
        <v>83</v>
      </c>
      <c r="F5" s="12">
        <v>1.1</v>
      </c>
      <c r="G5" s="12">
        <v>1.5</v>
      </c>
      <c r="H5" s="12">
        <v>0.5</v>
      </c>
      <c r="I5" s="13">
        <v>3.1</v>
      </c>
      <c r="J5" s="14">
        <v>2</v>
      </c>
      <c r="K5" s="11" t="s">
        <v>53</v>
      </c>
    </row>
    <row r="6" ht="48" customHeight="1" spans="1:11" x14ac:dyDescent="0.25">
      <c r="A6" s="10" t="s">
        <v>84</v>
      </c>
      <c r="B6" s="11" t="s">
        <v>85</v>
      </c>
      <c r="C6" s="11" t="s">
        <v>86</v>
      </c>
      <c r="D6" s="11" t="s">
        <v>87</v>
      </c>
      <c r="E6" s="12" t="s">
        <v>88</v>
      </c>
      <c r="F6" s="12">
        <v>0.9</v>
      </c>
      <c r="G6" s="12">
        <v>1.5</v>
      </c>
      <c r="H6" s="12">
        <v>0.5</v>
      </c>
      <c r="I6" s="13">
        <v>2.9</v>
      </c>
      <c r="J6" s="14">
        <v>1.9</v>
      </c>
      <c r="K6" s="15" t="s">
        <v>89</v>
      </c>
    </row>
    <row r="7" ht="48" customHeight="1" spans="1:11" x14ac:dyDescent="0.25">
      <c r="A7" s="10" t="s">
        <v>90</v>
      </c>
      <c r="B7" s="11" t="s">
        <v>91</v>
      </c>
      <c r="C7" s="11" t="s">
        <v>92</v>
      </c>
      <c r="D7" s="11" t="s">
        <v>93</v>
      </c>
      <c r="E7" s="12" t="s">
        <v>94</v>
      </c>
      <c r="F7" s="12">
        <v>0.3</v>
      </c>
      <c r="G7" s="12">
        <v>0.5</v>
      </c>
      <c r="H7" s="12">
        <v>0.5</v>
      </c>
      <c r="I7" s="13">
        <v>1.3</v>
      </c>
      <c r="J7" s="14">
        <v>0.9</v>
      </c>
      <c r="K7" s="15" t="s">
        <v>95</v>
      </c>
    </row>
    <row r="8" ht="48" customHeight="1" spans="1:11" x14ac:dyDescent="0.25">
      <c r="A8" s="10" t="s">
        <v>96</v>
      </c>
      <c r="B8" s="11" t="s">
        <v>97</v>
      </c>
      <c r="C8" s="11" t="s">
        <v>98</v>
      </c>
      <c r="D8" s="11" t="s">
        <v>99</v>
      </c>
      <c r="E8" s="12" t="s">
        <v>100</v>
      </c>
      <c r="F8" s="12">
        <v>0.9</v>
      </c>
      <c r="G8" s="12">
        <v>0.5</v>
      </c>
      <c r="H8" s="12">
        <v>0.5</v>
      </c>
      <c r="I8" s="13">
        <v>1.9</v>
      </c>
      <c r="J8" s="14">
        <v>1.2</v>
      </c>
      <c r="K8" s="11" t="s">
        <v>53</v>
      </c>
    </row>
    <row r="9" ht="48" customHeight="1" spans="1:11" x14ac:dyDescent="0.25">
      <c r="A9" s="10" t="s">
        <v>101</v>
      </c>
      <c r="B9" s="11" t="s">
        <v>102</v>
      </c>
      <c r="C9" s="11" t="s">
        <v>103</v>
      </c>
      <c r="D9" s="11" t="s">
        <v>104</v>
      </c>
      <c r="E9" s="12" t="s">
        <v>105</v>
      </c>
      <c r="F9" s="12">
        <v>0.3</v>
      </c>
      <c r="G9" s="12">
        <v>0.5</v>
      </c>
      <c r="H9" s="12">
        <v>1</v>
      </c>
      <c r="I9" s="13">
        <v>1.8</v>
      </c>
      <c r="J9" s="14">
        <v>1.3</v>
      </c>
      <c r="K9" s="15" t="s">
        <v>106</v>
      </c>
    </row>
    <row r="10" ht="48" customHeight="1" spans="1:11" x14ac:dyDescent="0.25">
      <c r="A10" s="10" t="s">
        <v>107</v>
      </c>
      <c r="B10" s="11" t="s">
        <v>108</v>
      </c>
      <c r="C10" s="11" t="s">
        <v>109</v>
      </c>
      <c r="D10" s="11" t="s">
        <v>110</v>
      </c>
      <c r="E10" s="12" t="s">
        <v>111</v>
      </c>
      <c r="F10" s="12">
        <v>0.3</v>
      </c>
      <c r="G10" s="12">
        <v>0.5</v>
      </c>
      <c r="H10" s="12">
        <v>0.5</v>
      </c>
      <c r="I10" s="13">
        <v>1.3</v>
      </c>
      <c r="J10" s="14">
        <v>0.9</v>
      </c>
      <c r="K10" s="11" t="s">
        <v>53</v>
      </c>
    </row>
    <row r="11" ht="48" customHeight="1" spans="1:11" x14ac:dyDescent="0.25">
      <c r="A11" s="10" t="s">
        <v>112</v>
      </c>
      <c r="B11" s="11" t="s">
        <v>113</v>
      </c>
      <c r="C11" s="11" t="s">
        <v>114</v>
      </c>
      <c r="D11" s="11" t="s">
        <v>115</v>
      </c>
      <c r="E11" s="12" t="s">
        <v>116</v>
      </c>
      <c r="F11" s="12">
        <v>0.5</v>
      </c>
      <c r="G11" s="12">
        <v>0.5</v>
      </c>
      <c r="H11" s="12">
        <v>0.5</v>
      </c>
      <c r="I11" s="13">
        <v>1.5</v>
      </c>
      <c r="J11" s="14">
        <v>1</v>
      </c>
      <c r="K11" s="15" t="s">
        <v>117</v>
      </c>
    </row>
    <row r="12" spans="1:11" x14ac:dyDescent="0.25">
      <c r="A12" s="16" t="s">
        <v>60</v>
      </c>
      <c r="B12" s="17" t="s">
        <v>61</v>
      </c>
      <c r="C12" s="16" t="s">
        <v>60</v>
      </c>
      <c r="D12" s="16" t="s">
        <v>60</v>
      </c>
      <c r="E12" s="16" t="s">
        <v>60</v>
      </c>
      <c r="F12" s="16">
        <f>SUM(F2:F11)</f>
      </c>
      <c r="G12" s="16">
        <f>SUM(G2:G11)</f>
      </c>
      <c r="H12" s="16">
        <f>SUM(H2:H11)</f>
      </c>
      <c r="I12" s="16">
        <f>SUM(I2:I11)</f>
      </c>
      <c r="J12" s="16">
        <f>SUM(J2:J11)</f>
      </c>
      <c r="K12" s="16" t="s">
        <v>60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workbookViewId="0">
      <pane xSplit="2" ySplit="1" topLeftCell="C2" activePane="bottomRight" state="frozen"/>
      <selection pane="bottomRight"/>
    </sheetView>
  </sheetViews>
  <sheetFormatPr defaultRowHeight="15" outlineLevelRow="0" outlineLevelCol="0" x14ac:dyDescent="55"/>
  <cols>
    <col min="1" max="1" width="6" customWidth="1"/>
    <col min="2" max="2" width="28" customWidth="1"/>
    <col min="3" max="3" width="34" customWidth="1"/>
    <col min="4" max="4" width="38" customWidth="1"/>
    <col min="5" max="5" width="20" customWidth="1"/>
    <col min="6" max="7" width="8" customWidth="1"/>
    <col min="8" max="8" width="10" customWidth="1"/>
    <col min="9" max="10" width="12" customWidth="1"/>
    <col min="11" max="11" width="44" customWidth="1"/>
  </cols>
  <sheetData>
    <row r="1" ht="32" customHeight="1" spans="1:11" x14ac:dyDescent="0.25">
      <c r="A1" s="4" t="s">
        <v>31</v>
      </c>
      <c r="B1" s="4" t="s">
        <v>32</v>
      </c>
      <c r="C1" s="4" t="s">
        <v>33</v>
      </c>
      <c r="D1" s="4" t="s">
        <v>34</v>
      </c>
      <c r="E1" s="4" t="s">
        <v>35</v>
      </c>
      <c r="F1" s="4" t="s">
        <v>36</v>
      </c>
      <c r="G1" s="4" t="s">
        <v>37</v>
      </c>
      <c r="H1" s="4" t="s">
        <v>38</v>
      </c>
      <c r="I1" s="4" t="s">
        <v>39</v>
      </c>
      <c r="J1" s="4" t="s">
        <v>40</v>
      </c>
      <c r="K1" s="4" t="s">
        <v>41</v>
      </c>
    </row>
    <row r="2" ht="48" customHeight="1" spans="1:11" x14ac:dyDescent="0.25">
      <c r="A2" s="10" t="s">
        <v>118</v>
      </c>
      <c r="B2" s="11" t="s">
        <v>119</v>
      </c>
      <c r="C2" s="11" t="s">
        <v>120</v>
      </c>
      <c r="D2" s="11" t="s">
        <v>121</v>
      </c>
      <c r="E2" s="12" t="s">
        <v>122</v>
      </c>
      <c r="F2" s="12">
        <v>0</v>
      </c>
      <c r="G2" s="12">
        <v>0.5</v>
      </c>
      <c r="H2" s="12">
        <v>0</v>
      </c>
      <c r="I2" s="13">
        <v>0.5</v>
      </c>
      <c r="J2" s="14">
        <v>0.3</v>
      </c>
      <c r="K2" s="15" t="s">
        <v>123</v>
      </c>
    </row>
    <row r="3" ht="48" customHeight="1" spans="1:11" x14ac:dyDescent="0.25">
      <c r="A3" s="10" t="s">
        <v>124</v>
      </c>
      <c r="B3" s="11" t="s">
        <v>125</v>
      </c>
      <c r="C3" s="11" t="s">
        <v>126</v>
      </c>
      <c r="D3" s="11" t="s">
        <v>127</v>
      </c>
      <c r="E3" s="12" t="s">
        <v>128</v>
      </c>
      <c r="F3" s="12">
        <v>0.3</v>
      </c>
      <c r="G3" s="12">
        <v>0.5</v>
      </c>
      <c r="H3" s="12">
        <v>0.5</v>
      </c>
      <c r="I3" s="13">
        <v>1.3</v>
      </c>
      <c r="J3" s="14">
        <v>0.9</v>
      </c>
      <c r="K3" s="15" t="s">
        <v>129</v>
      </c>
    </row>
    <row r="4" ht="48" customHeight="1" spans="1:11" x14ac:dyDescent="0.25">
      <c r="A4" s="10" t="s">
        <v>130</v>
      </c>
      <c r="B4" s="11" t="s">
        <v>131</v>
      </c>
      <c r="C4" s="11" t="s">
        <v>132</v>
      </c>
      <c r="D4" s="11" t="s">
        <v>133</v>
      </c>
      <c r="E4" s="12" t="s">
        <v>134</v>
      </c>
      <c r="F4" s="12">
        <v>0.1</v>
      </c>
      <c r="G4" s="12">
        <v>0.5</v>
      </c>
      <c r="H4" s="12">
        <v>0</v>
      </c>
      <c r="I4" s="13">
        <v>0.6</v>
      </c>
      <c r="J4" s="14">
        <v>0.4</v>
      </c>
      <c r="K4" s="11" t="s">
        <v>53</v>
      </c>
    </row>
    <row r="5" ht="48" customHeight="1" spans="1:11" x14ac:dyDescent="0.25">
      <c r="A5" s="10" t="s">
        <v>135</v>
      </c>
      <c r="B5" s="11" t="s">
        <v>136</v>
      </c>
      <c r="C5" s="11" t="s">
        <v>137</v>
      </c>
      <c r="D5" s="11" t="s">
        <v>138</v>
      </c>
      <c r="E5" s="12" t="s">
        <v>139</v>
      </c>
      <c r="F5" s="12">
        <v>1.6</v>
      </c>
      <c r="G5" s="12">
        <v>1</v>
      </c>
      <c r="H5" s="12">
        <v>1</v>
      </c>
      <c r="I5" s="13">
        <v>3.6</v>
      </c>
      <c r="J5" s="14">
        <v>2.3</v>
      </c>
      <c r="K5" s="15" t="s">
        <v>140</v>
      </c>
    </row>
    <row r="6" ht="48" customHeight="1" spans="1:11" x14ac:dyDescent="0.25">
      <c r="A6" s="10" t="s">
        <v>141</v>
      </c>
      <c r="B6" s="11" t="s">
        <v>142</v>
      </c>
      <c r="C6" s="11" t="s">
        <v>143</v>
      </c>
      <c r="D6" s="11" t="s">
        <v>144</v>
      </c>
      <c r="E6" s="12" t="s">
        <v>145</v>
      </c>
      <c r="F6" s="12">
        <v>0.4</v>
      </c>
      <c r="G6" s="12">
        <v>1</v>
      </c>
      <c r="H6" s="12">
        <v>0.5</v>
      </c>
      <c r="I6" s="13">
        <v>1.9</v>
      </c>
      <c r="J6" s="14">
        <v>1.3</v>
      </c>
      <c r="K6" s="15" t="s">
        <v>146</v>
      </c>
    </row>
    <row r="7" spans="1:11" x14ac:dyDescent="0.25">
      <c r="A7" s="16" t="s">
        <v>60</v>
      </c>
      <c r="B7" s="17" t="s">
        <v>61</v>
      </c>
      <c r="C7" s="16" t="s">
        <v>60</v>
      </c>
      <c r="D7" s="16" t="s">
        <v>60</v>
      </c>
      <c r="E7" s="16" t="s">
        <v>60</v>
      </c>
      <c r="F7" s="16">
        <f>SUM(F2:F6)</f>
      </c>
      <c r="G7" s="16">
        <f>SUM(G2:G6)</f>
      </c>
      <c r="H7" s="16">
        <f>SUM(H2:H6)</f>
      </c>
      <c r="I7" s="16">
        <f>SUM(I2:I6)</f>
      </c>
      <c r="J7" s="16">
        <f>SUM(J2:J6)</f>
      </c>
      <c r="K7" s="16" t="s">
        <v>60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pane xSplit="2" ySplit="1" topLeftCell="C2" activePane="bottomRight" state="frozen"/>
      <selection pane="bottomRight"/>
    </sheetView>
  </sheetViews>
  <sheetFormatPr defaultRowHeight="15" outlineLevelRow="0" outlineLevelCol="0" x14ac:dyDescent="55"/>
  <cols>
    <col min="1" max="1" width="6" customWidth="1"/>
    <col min="2" max="2" width="30" customWidth="1"/>
    <col min="3" max="4" width="46" customWidth="1"/>
    <col min="5" max="6" width="8" customWidth="1"/>
    <col min="7" max="7" width="10" customWidth="1"/>
    <col min="8" max="9" width="12" customWidth="1"/>
    <col min="10" max="10" width="44" customWidth="1"/>
  </cols>
  <sheetData>
    <row r="1" ht="32" customHeight="1" spans="1:10" x14ac:dyDescent="0.25">
      <c r="A1" s="4" t="s">
        <v>31</v>
      </c>
      <c r="B1" s="4" t="s">
        <v>147</v>
      </c>
      <c r="C1" s="4" t="s">
        <v>148</v>
      </c>
      <c r="D1" s="4" t="s">
        <v>149</v>
      </c>
      <c r="E1" s="4" t="s">
        <v>36</v>
      </c>
      <c r="F1" s="4" t="s">
        <v>37</v>
      </c>
      <c r="G1" s="4" t="s">
        <v>38</v>
      </c>
      <c r="H1" s="4" t="s">
        <v>39</v>
      </c>
      <c r="I1" s="4" t="s">
        <v>40</v>
      </c>
      <c r="J1" s="4" t="s">
        <v>41</v>
      </c>
    </row>
    <row r="2" ht="60" customHeight="1" spans="1:10" x14ac:dyDescent="0.25">
      <c r="A2" s="12" t="s">
        <v>150</v>
      </c>
      <c r="B2" s="11" t="s">
        <v>151</v>
      </c>
      <c r="C2" s="11" t="s">
        <v>152</v>
      </c>
      <c r="D2" s="11" t="s">
        <v>153</v>
      </c>
      <c r="E2" s="12">
        <v>1</v>
      </c>
      <c r="F2" s="12">
        <v>7</v>
      </c>
      <c r="G2" s="12">
        <v>0</v>
      </c>
      <c r="H2" s="13">
        <v>8</v>
      </c>
      <c r="I2" s="14">
        <v>5.1</v>
      </c>
      <c r="J2" s="15" t="s">
        <v>154</v>
      </c>
    </row>
    <row r="3" ht="60" customHeight="1" spans="1:10" x14ac:dyDescent="0.25">
      <c r="A3" s="12" t="s">
        <v>155</v>
      </c>
      <c r="B3" s="11" t="s">
        <v>156</v>
      </c>
      <c r="C3" s="11" t="s">
        <v>157</v>
      </c>
      <c r="D3" s="11" t="s">
        <v>158</v>
      </c>
      <c r="E3" s="12">
        <v>1</v>
      </c>
      <c r="F3" s="12">
        <v>1</v>
      </c>
      <c r="G3" s="12">
        <v>0.5</v>
      </c>
      <c r="H3" s="13">
        <v>2.5</v>
      </c>
      <c r="I3" s="14">
        <v>1.6</v>
      </c>
      <c r="J3" s="11" t="s">
        <v>53</v>
      </c>
    </row>
    <row r="4" ht="60" customHeight="1" spans="1:10" x14ac:dyDescent="0.25">
      <c r="A4" s="12" t="s">
        <v>159</v>
      </c>
      <c r="B4" s="11" t="s">
        <v>160</v>
      </c>
      <c r="C4" s="11" t="s">
        <v>161</v>
      </c>
      <c r="D4" s="11" t="s">
        <v>162</v>
      </c>
      <c r="E4" s="12">
        <v>2</v>
      </c>
      <c r="F4" s="12">
        <v>1</v>
      </c>
      <c r="G4" s="12">
        <v>0.5</v>
      </c>
      <c r="H4" s="13">
        <v>3.5</v>
      </c>
      <c r="I4" s="14">
        <v>2.1</v>
      </c>
      <c r="J4" s="11" t="s">
        <v>53</v>
      </c>
    </row>
    <row r="5" spans="1:10" x14ac:dyDescent="0.25">
      <c r="A5" s="16" t="s">
        <v>60</v>
      </c>
      <c r="B5" s="17" t="s">
        <v>61</v>
      </c>
      <c r="C5" s="16" t="s">
        <v>60</v>
      </c>
      <c r="D5" s="16" t="s">
        <v>60</v>
      </c>
      <c r="E5" s="16">
        <f>SUM(E2:E4)</f>
      </c>
      <c r="F5" s="16">
        <f>SUM(F2:F4)</f>
      </c>
      <c r="G5" s="16">
        <f>SUM(G2:G4)</f>
      </c>
      <c r="H5" s="16">
        <f>SUM(H2:H4)</f>
      </c>
      <c r="I5" s="16">
        <f>SUM(I2:I4)</f>
      </c>
      <c r="J5" s="16" t="s">
        <v>60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FormatPr defaultRowHeight="15" outlineLevelRow="0" outlineLevelCol="0" x14ac:dyDescent="55"/>
  <cols>
    <col min="1" max="1" width="5" customWidth="1"/>
    <col min="2" max="2" width="24" customWidth="1"/>
    <col min="3" max="3" width="60" customWidth="1"/>
    <col min="4" max="4" width="50" customWidth="1"/>
  </cols>
  <sheetData>
    <row r="1" ht="32" customHeight="1" spans="1:4" x14ac:dyDescent="0.25">
      <c r="A1" s="4" t="s">
        <v>31</v>
      </c>
      <c r="B1" s="4" t="s">
        <v>163</v>
      </c>
      <c r="C1" s="4" t="s">
        <v>164</v>
      </c>
      <c r="D1" s="4" t="s">
        <v>165</v>
      </c>
    </row>
    <row r="2" ht="42" customHeight="1" spans="1:4" x14ac:dyDescent="0.25">
      <c r="A2" s="18">
        <v>1</v>
      </c>
      <c r="B2" s="19" t="s">
        <v>166</v>
      </c>
      <c r="C2" s="19" t="s">
        <v>167</v>
      </c>
      <c r="D2" s="19" t="s">
        <v>168</v>
      </c>
    </row>
    <row r="3" ht="42" customHeight="1" spans="1:4" x14ac:dyDescent="0.25">
      <c r="A3" s="18">
        <v>2</v>
      </c>
      <c r="B3" s="19" t="s">
        <v>169</v>
      </c>
      <c r="C3" s="19" t="s">
        <v>170</v>
      </c>
      <c r="D3" s="19" t="s">
        <v>171</v>
      </c>
    </row>
    <row r="4" ht="42" customHeight="1" spans="1:4" x14ac:dyDescent="0.25">
      <c r="A4" s="18">
        <v>3</v>
      </c>
      <c r="B4" s="19" t="s">
        <v>172</v>
      </c>
      <c r="C4" s="19" t="s">
        <v>173</v>
      </c>
      <c r="D4" s="19" t="s">
        <v>174</v>
      </c>
    </row>
    <row r="5" ht="42" customHeight="1" spans="1:4" x14ac:dyDescent="0.25">
      <c r="A5" s="18">
        <v>4</v>
      </c>
      <c r="B5" s="19" t="s">
        <v>175</v>
      </c>
      <c r="C5" s="19" t="s">
        <v>176</v>
      </c>
      <c r="D5" s="19" t="s">
        <v>177</v>
      </c>
    </row>
    <row r="6" ht="42" customHeight="1" spans="1:4" x14ac:dyDescent="0.25">
      <c r="A6" s="18">
        <v>5</v>
      </c>
      <c r="B6" s="19" t="s">
        <v>178</v>
      </c>
      <c r="C6" s="19" t="s">
        <v>179</v>
      </c>
      <c r="D6" s="19" t="s">
        <v>180</v>
      </c>
    </row>
    <row r="7" ht="42" customHeight="1" spans="1:4" x14ac:dyDescent="0.25">
      <c r="A7" s="18">
        <v>6</v>
      </c>
      <c r="B7" s="19" t="s">
        <v>181</v>
      </c>
      <c r="C7" s="19" t="s">
        <v>182</v>
      </c>
      <c r="D7" s="19" t="s">
        <v>183</v>
      </c>
    </row>
    <row r="8" ht="42" customHeight="1" spans="1:4" x14ac:dyDescent="0.25">
      <c r="A8" s="18">
        <v>7</v>
      </c>
      <c r="B8" s="19" t="s">
        <v>184</v>
      </c>
      <c r="C8" s="19" t="s">
        <v>185</v>
      </c>
      <c r="D8" s="19" t="s">
        <v>186</v>
      </c>
    </row>
    <row r="9" ht="42" customHeight="1" spans="1:4" x14ac:dyDescent="0.25">
      <c r="A9" s="18">
        <v>8</v>
      </c>
      <c r="B9" s="19" t="s">
        <v>187</v>
      </c>
      <c r="C9" s="19" t="s">
        <v>188</v>
      </c>
      <c r="D9" s="19" t="s">
        <v>189</v>
      </c>
    </row>
    <row r="10" ht="42" customHeight="1" spans="1:4" x14ac:dyDescent="0.25">
      <c r="A10" s="18">
        <v>9</v>
      </c>
      <c r="B10" s="19" t="s">
        <v>190</v>
      </c>
      <c r="C10" s="19" t="s">
        <v>191</v>
      </c>
      <c r="D10" s="19" t="s">
        <v>192</v>
      </c>
    </row>
    <row r="11" ht="42" customHeight="1" spans="1:4" x14ac:dyDescent="0.25">
      <c r="A11" s="18">
        <v>10</v>
      </c>
      <c r="B11" s="19" t="s">
        <v>193</v>
      </c>
      <c r="C11" s="19" t="s">
        <v>194</v>
      </c>
      <c r="D11" s="19" t="s">
        <v>195</v>
      </c>
    </row>
    <row r="12" ht="42" customHeight="1" spans="1:4" x14ac:dyDescent="0.25">
      <c r="A12" s="18">
        <v>11</v>
      </c>
      <c r="B12" s="19" t="s">
        <v>196</v>
      </c>
      <c r="C12" s="19" t="s">
        <v>197</v>
      </c>
      <c r="D12" s="19" t="s">
        <v>198</v>
      </c>
    </row>
    <row r="13" ht="42" customHeight="1" spans="1:4" x14ac:dyDescent="0.25">
      <c r="A13" s="18">
        <v>12</v>
      </c>
      <c r="B13" s="19" t="s">
        <v>199</v>
      </c>
      <c r="C13" s="19" t="s">
        <v>200</v>
      </c>
      <c r="D13" s="19" t="s">
        <v>201</v>
      </c>
    </row>
    <row r="14" ht="42" customHeight="1" spans="1:4" x14ac:dyDescent="0.25">
      <c r="A14" s="18">
        <v>13</v>
      </c>
      <c r="B14" s="19" t="s">
        <v>202</v>
      </c>
      <c r="C14" s="19" t="s">
        <v>203</v>
      </c>
      <c r="D14" s="19" t="s">
        <v>204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 Me</vt:lpstr>
      <vt:lpstr>Executive Summary</vt:lpstr>
      <vt:lpstr>Step 1 - Project Setup</vt:lpstr>
      <vt:lpstr>Step 2 - Sim Assumptions</vt:lpstr>
      <vt:lpstr>Step 3 - Scenario Compare</vt:lpstr>
      <vt:lpstr>Code Optimization</vt:lpstr>
      <vt:lpstr>Open Questions &amp; Gaps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Claude Code</dc:creator>
  <dc:title/>
  <dc:subject/>
  <dc:description/>
  <cp:keywords/>
  <cp:category/>
  <cp:lastModifiedBy>Unknown</cp:lastModifiedBy>
  <dcterms:created xsi:type="dcterms:W3CDTF">2026-09-09T06:45:21Z</dcterms:created>
  <dcterms:modified xsi:type="dcterms:W3CDTF">2026-09-09T06:45:21Z</dcterms:modified>
</cp:coreProperties>
</file>